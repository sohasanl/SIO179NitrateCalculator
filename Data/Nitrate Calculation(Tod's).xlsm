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Todd\Dropbox\00SyncDocs\Courses\SIO269_190_179 - instrumental methods\2019FA\Nitrate\"/>
    </mc:Choice>
  </mc:AlternateContent>
  <bookViews>
    <workbookView xWindow="0" yWindow="0" windowWidth="25200" windowHeight="11190"/>
  </bookViews>
  <sheets>
    <sheet name="blank" sheetId="1" r:id="rId1"/>
  </sheets>
  <calcPr calcId="162913"/>
</workbook>
</file>

<file path=xl/calcChain.xml><?xml version="1.0" encoding="utf-8"?>
<calcChain xmlns="http://schemas.openxmlformats.org/spreadsheetml/2006/main">
  <c r="T5" i="1" l="1"/>
  <c r="T9" i="1"/>
  <c r="S9" i="1"/>
  <c r="R9" i="1"/>
  <c r="Q9" i="1"/>
  <c r="P112" i="1" l="1"/>
  <c r="P156" i="1"/>
  <c r="P199" i="1"/>
  <c r="P284" i="1"/>
  <c r="P316" i="1"/>
  <c r="O5" i="1"/>
  <c r="P15" i="1" s="1"/>
  <c r="K5" i="1"/>
  <c r="K12" i="1" s="1"/>
  <c r="O4" i="1"/>
  <c r="K4" i="1"/>
  <c r="K28" i="1"/>
  <c r="K36" i="1"/>
  <c r="K47" i="1"/>
  <c r="K56" i="1"/>
  <c r="K61" i="1"/>
  <c r="K79" i="1"/>
  <c r="K88" i="1"/>
  <c r="K103" i="1"/>
  <c r="K108" i="1"/>
  <c r="K124" i="1"/>
  <c r="K127" i="1"/>
  <c r="K135" i="1"/>
  <c r="K138" i="1"/>
  <c r="K146" i="1"/>
  <c r="K149" i="1"/>
  <c r="K157" i="1"/>
  <c r="K159" i="1"/>
  <c r="K167" i="1"/>
  <c r="K170" i="1"/>
  <c r="K178" i="1"/>
  <c r="K180" i="1"/>
  <c r="K187" i="1"/>
  <c r="K189" i="1"/>
  <c r="K196" i="1"/>
  <c r="K198" i="1"/>
  <c r="K205" i="1"/>
  <c r="K207" i="1"/>
  <c r="K214" i="1"/>
  <c r="K216" i="1"/>
  <c r="K223" i="1"/>
  <c r="K226" i="1"/>
  <c r="K232" i="1"/>
  <c r="K235" i="1"/>
  <c r="K242" i="1"/>
  <c r="K244" i="1"/>
  <c r="K251" i="1"/>
  <c r="K253" i="1"/>
  <c r="K260" i="1"/>
  <c r="K262" i="1"/>
  <c r="K269" i="1"/>
  <c r="K271" i="1"/>
  <c r="K278" i="1"/>
  <c r="K280" i="1"/>
  <c r="K287" i="1"/>
  <c r="K290" i="1"/>
  <c r="K296" i="1"/>
  <c r="K298" i="1"/>
  <c r="K304" i="1"/>
  <c r="K306" i="1"/>
  <c r="K312" i="1"/>
  <c r="K314" i="1"/>
  <c r="F5" i="1"/>
  <c r="F72" i="1" s="1"/>
  <c r="G72" i="1" s="1"/>
  <c r="F4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9" i="1"/>
  <c r="F80" i="1" l="1"/>
  <c r="G80" i="1" s="1"/>
  <c r="R80" i="1" s="1"/>
  <c r="S80" i="1" s="1"/>
  <c r="F312" i="1"/>
  <c r="G312" i="1" s="1"/>
  <c r="R312" i="1" s="1"/>
  <c r="S312" i="1" s="1"/>
  <c r="K313" i="1"/>
  <c r="K305" i="1"/>
  <c r="K297" i="1"/>
  <c r="K288" i="1"/>
  <c r="K279" i="1"/>
  <c r="K270" i="1"/>
  <c r="K261" i="1"/>
  <c r="K252" i="1"/>
  <c r="K243" i="1"/>
  <c r="K234" i="1"/>
  <c r="K224" i="1"/>
  <c r="K215" i="1"/>
  <c r="K206" i="1"/>
  <c r="K197" i="1"/>
  <c r="K188" i="1"/>
  <c r="K179" i="1"/>
  <c r="K168" i="1"/>
  <c r="K158" i="1"/>
  <c r="K148" i="1"/>
  <c r="K136" i="1"/>
  <c r="K126" i="1"/>
  <c r="K104" i="1"/>
  <c r="K84" i="1"/>
  <c r="K60" i="1"/>
  <c r="K30" i="1"/>
  <c r="P176" i="1"/>
  <c r="F288" i="1"/>
  <c r="G288" i="1" s="1"/>
  <c r="R288" i="1" s="1"/>
  <c r="S288" i="1" s="1"/>
  <c r="K319" i="1"/>
  <c r="K311" i="1"/>
  <c r="K303" i="1"/>
  <c r="K295" i="1"/>
  <c r="K286" i="1"/>
  <c r="K277" i="1"/>
  <c r="K268" i="1"/>
  <c r="K259" i="1"/>
  <c r="K250" i="1"/>
  <c r="K240" i="1"/>
  <c r="K231" i="1"/>
  <c r="K222" i="1"/>
  <c r="K213" i="1"/>
  <c r="K204" i="1"/>
  <c r="K195" i="1"/>
  <c r="K186" i="1"/>
  <c r="K176" i="1"/>
  <c r="K166" i="1"/>
  <c r="K156" i="1"/>
  <c r="K144" i="1"/>
  <c r="K134" i="1"/>
  <c r="K119" i="1"/>
  <c r="K102" i="1"/>
  <c r="K77" i="1"/>
  <c r="K52" i="1"/>
  <c r="K27" i="1"/>
  <c r="P300" i="1"/>
  <c r="P135" i="1"/>
  <c r="F296" i="1"/>
  <c r="G296" i="1" s="1"/>
  <c r="R296" i="1" s="1"/>
  <c r="S296" i="1" s="1"/>
  <c r="F208" i="1"/>
  <c r="G208" i="1" s="1"/>
  <c r="R208" i="1" s="1"/>
  <c r="S208" i="1" s="1"/>
  <c r="K318" i="1"/>
  <c r="K302" i="1"/>
  <c r="K285" i="1"/>
  <c r="K267" i="1"/>
  <c r="K248" i="1"/>
  <c r="K230" i="1"/>
  <c r="K212" i="1"/>
  <c r="K194" i="1"/>
  <c r="K175" i="1"/>
  <c r="K154" i="1"/>
  <c r="K133" i="1"/>
  <c r="K96" i="1"/>
  <c r="K76" i="1"/>
  <c r="F192" i="1"/>
  <c r="G192" i="1" s="1"/>
  <c r="R192" i="1" s="1"/>
  <c r="S192" i="1" s="1"/>
  <c r="K317" i="1"/>
  <c r="K309" i="1"/>
  <c r="K301" i="1"/>
  <c r="K293" i="1"/>
  <c r="K284" i="1"/>
  <c r="K275" i="1"/>
  <c r="K266" i="1"/>
  <c r="K256" i="1"/>
  <c r="K247" i="1"/>
  <c r="K238" i="1"/>
  <c r="K229" i="1"/>
  <c r="K220" i="1"/>
  <c r="K211" i="1"/>
  <c r="K202" i="1"/>
  <c r="K192" i="1"/>
  <c r="K183" i="1"/>
  <c r="K174" i="1"/>
  <c r="K164" i="1"/>
  <c r="K152" i="1"/>
  <c r="K142" i="1"/>
  <c r="K132" i="1"/>
  <c r="K117" i="1"/>
  <c r="K94" i="1"/>
  <c r="K72" i="1"/>
  <c r="K45" i="1"/>
  <c r="K13" i="1"/>
  <c r="P263" i="1"/>
  <c r="P84" i="1"/>
  <c r="K310" i="1"/>
  <c r="K294" i="1"/>
  <c r="K276" i="1"/>
  <c r="K258" i="1"/>
  <c r="K239" i="1"/>
  <c r="K221" i="1"/>
  <c r="K203" i="1"/>
  <c r="K184" i="1"/>
  <c r="K165" i="1"/>
  <c r="K143" i="1"/>
  <c r="K118" i="1"/>
  <c r="K22" i="1"/>
  <c r="F184" i="1"/>
  <c r="G184" i="1" s="1"/>
  <c r="R184" i="1" s="1"/>
  <c r="S184" i="1" s="1"/>
  <c r="K316" i="1"/>
  <c r="K308" i="1"/>
  <c r="K300" i="1"/>
  <c r="K292" i="1"/>
  <c r="K283" i="1"/>
  <c r="L283" i="1" s="1"/>
  <c r="M283" i="1" s="1"/>
  <c r="K274" i="1"/>
  <c r="K264" i="1"/>
  <c r="K255" i="1"/>
  <c r="K246" i="1"/>
  <c r="K237" i="1"/>
  <c r="K228" i="1"/>
  <c r="K219" i="1"/>
  <c r="K210" i="1"/>
  <c r="K200" i="1"/>
  <c r="K191" i="1"/>
  <c r="K182" i="1"/>
  <c r="K173" i="1"/>
  <c r="K162" i="1"/>
  <c r="K151" i="1"/>
  <c r="K141" i="1"/>
  <c r="K130" i="1"/>
  <c r="K116" i="1"/>
  <c r="K93" i="1"/>
  <c r="K68" i="1"/>
  <c r="K44" i="1"/>
  <c r="K9" i="1"/>
  <c r="P240" i="1"/>
  <c r="P28" i="1"/>
  <c r="F96" i="1"/>
  <c r="G96" i="1" s="1"/>
  <c r="R96" i="1" s="1"/>
  <c r="S96" i="1" s="1"/>
  <c r="K315" i="1"/>
  <c r="K307" i="1"/>
  <c r="K299" i="1"/>
  <c r="K291" i="1"/>
  <c r="K282" i="1"/>
  <c r="K272" i="1"/>
  <c r="K263" i="1"/>
  <c r="K254" i="1"/>
  <c r="K245" i="1"/>
  <c r="K236" i="1"/>
  <c r="K227" i="1"/>
  <c r="K218" i="1"/>
  <c r="K208" i="1"/>
  <c r="K199" i="1"/>
  <c r="K190" i="1"/>
  <c r="K181" i="1"/>
  <c r="K172" i="1"/>
  <c r="K160" i="1"/>
  <c r="K150" i="1"/>
  <c r="K140" i="1"/>
  <c r="K128" i="1"/>
  <c r="K110" i="1"/>
  <c r="K92" i="1"/>
  <c r="K63" i="1"/>
  <c r="K40" i="1"/>
  <c r="P220" i="1"/>
  <c r="F224" i="1"/>
  <c r="G224" i="1" s="1"/>
  <c r="R224" i="1" s="1"/>
  <c r="S224" i="1" s="1"/>
  <c r="F120" i="1"/>
  <c r="G120" i="1" s="1"/>
  <c r="R120" i="1" s="1"/>
  <c r="S120" i="1" s="1"/>
  <c r="F16" i="1"/>
  <c r="G16" i="1" s="1"/>
  <c r="R16" i="1" s="1"/>
  <c r="S16" i="1" s="1"/>
  <c r="P304" i="1"/>
  <c r="P288" i="1"/>
  <c r="T288" i="1" s="1"/>
  <c r="P271" i="1"/>
  <c r="P248" i="1"/>
  <c r="P228" i="1"/>
  <c r="P207" i="1"/>
  <c r="P184" i="1"/>
  <c r="T184" i="1" s="1"/>
  <c r="P164" i="1"/>
  <c r="P143" i="1"/>
  <c r="P120" i="1"/>
  <c r="P95" i="1"/>
  <c r="P52" i="1"/>
  <c r="F104" i="1"/>
  <c r="G104" i="1" s="1"/>
  <c r="R104" i="1" s="1"/>
  <c r="S104" i="1" s="1"/>
  <c r="K112" i="1"/>
  <c r="K101" i="1"/>
  <c r="K87" i="1"/>
  <c r="K71" i="1"/>
  <c r="K55" i="1"/>
  <c r="K39" i="1"/>
  <c r="K21" i="1"/>
  <c r="P319" i="1"/>
  <c r="P303" i="1"/>
  <c r="P287" i="1"/>
  <c r="P268" i="1"/>
  <c r="P247" i="1"/>
  <c r="P224" i="1"/>
  <c r="P204" i="1"/>
  <c r="P183" i="1"/>
  <c r="P160" i="1"/>
  <c r="P140" i="1"/>
  <c r="P119" i="1"/>
  <c r="P92" i="1"/>
  <c r="P44" i="1"/>
  <c r="K125" i="1"/>
  <c r="K111" i="1"/>
  <c r="K100" i="1"/>
  <c r="K85" i="1"/>
  <c r="K69" i="1"/>
  <c r="K53" i="1"/>
  <c r="K37" i="1"/>
  <c r="K19" i="1"/>
  <c r="L19" i="1" s="1"/>
  <c r="M19" i="1" s="1"/>
  <c r="P318" i="1"/>
  <c r="P302" i="1"/>
  <c r="P286" i="1"/>
  <c r="P264" i="1"/>
  <c r="P244" i="1"/>
  <c r="P223" i="1"/>
  <c r="P200" i="1"/>
  <c r="P180" i="1"/>
  <c r="P159" i="1"/>
  <c r="T159" i="1" s="1"/>
  <c r="P136" i="1"/>
  <c r="P116" i="1"/>
  <c r="P87" i="1"/>
  <c r="P36" i="1"/>
  <c r="F272" i="1"/>
  <c r="G272" i="1" s="1"/>
  <c r="R272" i="1" s="1"/>
  <c r="S272" i="1" s="1"/>
  <c r="F168" i="1"/>
  <c r="G168" i="1" s="1"/>
  <c r="R168" i="1" s="1"/>
  <c r="S168" i="1" s="1"/>
  <c r="F64" i="1"/>
  <c r="G64" i="1" s="1"/>
  <c r="K120" i="1"/>
  <c r="K109" i="1"/>
  <c r="K95" i="1"/>
  <c r="K80" i="1"/>
  <c r="K64" i="1"/>
  <c r="K48" i="1"/>
  <c r="K31" i="1"/>
  <c r="P312" i="1"/>
  <c r="T312" i="1" s="1"/>
  <c r="P296" i="1"/>
  <c r="T296" i="1" s="1"/>
  <c r="P280" i="1"/>
  <c r="P260" i="1"/>
  <c r="P239" i="1"/>
  <c r="P216" i="1"/>
  <c r="P196" i="1"/>
  <c r="P175" i="1"/>
  <c r="P152" i="1"/>
  <c r="P132" i="1"/>
  <c r="P111" i="1"/>
  <c r="P79" i="1"/>
  <c r="P20" i="1"/>
  <c r="F256" i="1"/>
  <c r="G256" i="1" s="1"/>
  <c r="R256" i="1" s="1"/>
  <c r="S256" i="1" s="1"/>
  <c r="F160" i="1"/>
  <c r="G160" i="1" s="1"/>
  <c r="R160" i="1" s="1"/>
  <c r="S160" i="1" s="1"/>
  <c r="T160" i="1" s="1"/>
  <c r="F56" i="1"/>
  <c r="G56" i="1" s="1"/>
  <c r="I56" i="1" s="1"/>
  <c r="J56" i="1" s="1"/>
  <c r="P311" i="1"/>
  <c r="P295" i="1"/>
  <c r="P279" i="1"/>
  <c r="P256" i="1"/>
  <c r="P236" i="1"/>
  <c r="P215" i="1"/>
  <c r="P192" i="1"/>
  <c r="T192" i="1" s="1"/>
  <c r="P172" i="1"/>
  <c r="P151" i="1"/>
  <c r="P128" i="1"/>
  <c r="P108" i="1"/>
  <c r="P76" i="1"/>
  <c r="P12" i="1"/>
  <c r="F248" i="1"/>
  <c r="G248" i="1" s="1"/>
  <c r="R248" i="1" s="1"/>
  <c r="S248" i="1" s="1"/>
  <c r="F144" i="1"/>
  <c r="G144" i="1" s="1"/>
  <c r="R144" i="1" s="1"/>
  <c r="S144" i="1" s="1"/>
  <c r="F40" i="1"/>
  <c r="G40" i="1" s="1"/>
  <c r="R40" i="1" s="1"/>
  <c r="S40" i="1" s="1"/>
  <c r="P310" i="1"/>
  <c r="P294" i="1"/>
  <c r="P276" i="1"/>
  <c r="P255" i="1"/>
  <c r="P232" i="1"/>
  <c r="P212" i="1"/>
  <c r="P191" i="1"/>
  <c r="P168" i="1"/>
  <c r="P148" i="1"/>
  <c r="P127" i="1"/>
  <c r="P103" i="1"/>
  <c r="P68" i="1"/>
  <c r="F232" i="1"/>
  <c r="G232" i="1" s="1"/>
  <c r="R232" i="1" s="1"/>
  <c r="S232" i="1" s="1"/>
  <c r="T232" i="1" s="1"/>
  <c r="F128" i="1"/>
  <c r="G128" i="1" s="1"/>
  <c r="R128" i="1" s="1"/>
  <c r="S128" i="1" s="1"/>
  <c r="T128" i="1" s="1"/>
  <c r="F32" i="1"/>
  <c r="G32" i="1" s="1"/>
  <c r="R32" i="1" s="1"/>
  <c r="S32" i="1" s="1"/>
  <c r="P308" i="1"/>
  <c r="P292" i="1"/>
  <c r="P272" i="1"/>
  <c r="P252" i="1"/>
  <c r="P231" i="1"/>
  <c r="P208" i="1"/>
  <c r="T208" i="1" s="1"/>
  <c r="P188" i="1"/>
  <c r="P167" i="1"/>
  <c r="P144" i="1"/>
  <c r="P124" i="1"/>
  <c r="P100" i="1"/>
  <c r="P60" i="1"/>
  <c r="F304" i="1"/>
  <c r="G304" i="1" s="1"/>
  <c r="R304" i="1" s="1"/>
  <c r="S304" i="1" s="1"/>
  <c r="T304" i="1" s="1"/>
  <c r="F240" i="1"/>
  <c r="G240" i="1" s="1"/>
  <c r="R240" i="1" s="1"/>
  <c r="S240" i="1" s="1"/>
  <c r="T240" i="1" s="1"/>
  <c r="F176" i="1"/>
  <c r="G176" i="1" s="1"/>
  <c r="R176" i="1" s="1"/>
  <c r="S176" i="1" s="1"/>
  <c r="T176" i="1" s="1"/>
  <c r="F112" i="1"/>
  <c r="G112" i="1" s="1"/>
  <c r="R112" i="1" s="1"/>
  <c r="S112" i="1" s="1"/>
  <c r="T112" i="1" s="1"/>
  <c r="F48" i="1"/>
  <c r="G48" i="1" s="1"/>
  <c r="R48" i="1" s="1"/>
  <c r="S48" i="1" s="1"/>
  <c r="F280" i="1"/>
  <c r="G280" i="1" s="1"/>
  <c r="R280" i="1" s="1"/>
  <c r="S280" i="1" s="1"/>
  <c r="T280" i="1" s="1"/>
  <c r="F216" i="1"/>
  <c r="G216" i="1" s="1"/>
  <c r="R216" i="1" s="1"/>
  <c r="S216" i="1" s="1"/>
  <c r="T216" i="1" s="1"/>
  <c r="F152" i="1"/>
  <c r="G152" i="1" s="1"/>
  <c r="R152" i="1" s="1"/>
  <c r="S152" i="1" s="1"/>
  <c r="F88" i="1"/>
  <c r="G88" i="1" s="1"/>
  <c r="R88" i="1" s="1"/>
  <c r="S88" i="1" s="1"/>
  <c r="F24" i="1"/>
  <c r="G24" i="1" s="1"/>
  <c r="F264" i="1"/>
  <c r="G264" i="1" s="1"/>
  <c r="R264" i="1" s="1"/>
  <c r="S264" i="1" s="1"/>
  <c r="F200" i="1"/>
  <c r="G200" i="1" s="1"/>
  <c r="R200" i="1" s="1"/>
  <c r="S200" i="1" s="1"/>
  <c r="T200" i="1" s="1"/>
  <c r="F136" i="1"/>
  <c r="G136" i="1" s="1"/>
  <c r="R136" i="1" s="1"/>
  <c r="S136" i="1" s="1"/>
  <c r="T136" i="1" s="1"/>
  <c r="F9" i="1"/>
  <c r="G9" i="1" s="1"/>
  <c r="F17" i="1"/>
  <c r="G17" i="1" s="1"/>
  <c r="F25" i="1"/>
  <c r="G25" i="1" s="1"/>
  <c r="I25" i="1" s="1"/>
  <c r="J25" i="1" s="1"/>
  <c r="F33" i="1"/>
  <c r="G33" i="1" s="1"/>
  <c r="I33" i="1" s="1"/>
  <c r="J33" i="1" s="1"/>
  <c r="F41" i="1"/>
  <c r="G41" i="1" s="1"/>
  <c r="F49" i="1"/>
  <c r="G49" i="1" s="1"/>
  <c r="F57" i="1"/>
  <c r="G57" i="1" s="1"/>
  <c r="F65" i="1"/>
  <c r="G65" i="1" s="1"/>
  <c r="R65" i="1" s="1"/>
  <c r="S65" i="1" s="1"/>
  <c r="F73" i="1"/>
  <c r="G73" i="1" s="1"/>
  <c r="R73" i="1" s="1"/>
  <c r="S73" i="1" s="1"/>
  <c r="F81" i="1"/>
  <c r="G81" i="1" s="1"/>
  <c r="F89" i="1"/>
  <c r="G89" i="1" s="1"/>
  <c r="I89" i="1" s="1"/>
  <c r="J89" i="1" s="1"/>
  <c r="F97" i="1"/>
  <c r="G97" i="1" s="1"/>
  <c r="I97" i="1" s="1"/>
  <c r="J97" i="1" s="1"/>
  <c r="F105" i="1"/>
  <c r="G105" i="1" s="1"/>
  <c r="F113" i="1"/>
  <c r="G113" i="1" s="1"/>
  <c r="F121" i="1"/>
  <c r="G121" i="1" s="1"/>
  <c r="R121" i="1" s="1"/>
  <c r="S121" i="1" s="1"/>
  <c r="F129" i="1"/>
  <c r="G129" i="1" s="1"/>
  <c r="R129" i="1" s="1"/>
  <c r="S129" i="1" s="1"/>
  <c r="T129" i="1" s="1"/>
  <c r="F137" i="1"/>
  <c r="G137" i="1" s="1"/>
  <c r="I137" i="1" s="1"/>
  <c r="J137" i="1" s="1"/>
  <c r="F145" i="1"/>
  <c r="G145" i="1" s="1"/>
  <c r="F153" i="1"/>
  <c r="G153" i="1" s="1"/>
  <c r="I153" i="1" s="1"/>
  <c r="J153" i="1" s="1"/>
  <c r="F161" i="1"/>
  <c r="G161" i="1" s="1"/>
  <c r="I161" i="1" s="1"/>
  <c r="J161" i="1" s="1"/>
  <c r="F169" i="1"/>
  <c r="G169" i="1" s="1"/>
  <c r="F177" i="1"/>
  <c r="G177" i="1" s="1"/>
  <c r="F185" i="1"/>
  <c r="G185" i="1" s="1"/>
  <c r="R185" i="1" s="1"/>
  <c r="S185" i="1" s="1"/>
  <c r="F193" i="1"/>
  <c r="G193" i="1" s="1"/>
  <c r="F201" i="1"/>
  <c r="G201" i="1" s="1"/>
  <c r="R201" i="1" s="1"/>
  <c r="S201" i="1" s="1"/>
  <c r="F209" i="1"/>
  <c r="G209" i="1" s="1"/>
  <c r="F217" i="1"/>
  <c r="G217" i="1" s="1"/>
  <c r="I217" i="1" s="1"/>
  <c r="J217" i="1" s="1"/>
  <c r="F225" i="1"/>
  <c r="G225" i="1" s="1"/>
  <c r="I225" i="1" s="1"/>
  <c r="J225" i="1" s="1"/>
  <c r="F233" i="1"/>
  <c r="G233" i="1" s="1"/>
  <c r="F241" i="1"/>
  <c r="G241" i="1" s="1"/>
  <c r="F249" i="1"/>
  <c r="G249" i="1" s="1"/>
  <c r="I249" i="1" s="1"/>
  <c r="J249" i="1" s="1"/>
  <c r="F257" i="1"/>
  <c r="G257" i="1" s="1"/>
  <c r="R257" i="1" s="1"/>
  <c r="S257" i="1" s="1"/>
  <c r="T257" i="1" s="1"/>
  <c r="F265" i="1"/>
  <c r="G265" i="1" s="1"/>
  <c r="R265" i="1" s="1"/>
  <c r="S265" i="1" s="1"/>
  <c r="T265" i="1" s="1"/>
  <c r="F273" i="1"/>
  <c r="G273" i="1" s="1"/>
  <c r="F281" i="1"/>
  <c r="G281" i="1" s="1"/>
  <c r="I281" i="1" s="1"/>
  <c r="J281" i="1" s="1"/>
  <c r="F289" i="1"/>
  <c r="G289" i="1" s="1"/>
  <c r="I289" i="1" s="1"/>
  <c r="J289" i="1" s="1"/>
  <c r="F297" i="1"/>
  <c r="G297" i="1" s="1"/>
  <c r="F305" i="1"/>
  <c r="G305" i="1" s="1"/>
  <c r="F313" i="1"/>
  <c r="G313" i="1" s="1"/>
  <c r="I313" i="1" s="1"/>
  <c r="J313" i="1" s="1"/>
  <c r="F10" i="1"/>
  <c r="G10" i="1" s="1"/>
  <c r="I10" i="1" s="1"/>
  <c r="J10" i="1" s="1"/>
  <c r="F18" i="1"/>
  <c r="G18" i="1" s="1"/>
  <c r="I18" i="1" s="1"/>
  <c r="J18" i="1" s="1"/>
  <c r="F26" i="1"/>
  <c r="G26" i="1" s="1"/>
  <c r="F34" i="1"/>
  <c r="G34" i="1" s="1"/>
  <c r="R34" i="1" s="1"/>
  <c r="S34" i="1" s="1"/>
  <c r="F42" i="1"/>
  <c r="G42" i="1" s="1"/>
  <c r="R42" i="1" s="1"/>
  <c r="S42" i="1" s="1"/>
  <c r="F50" i="1"/>
  <c r="G50" i="1" s="1"/>
  <c r="F58" i="1"/>
  <c r="G58" i="1" s="1"/>
  <c r="F66" i="1"/>
  <c r="G66" i="1" s="1"/>
  <c r="I66" i="1" s="1"/>
  <c r="J66" i="1" s="1"/>
  <c r="F74" i="1"/>
  <c r="G74" i="1" s="1"/>
  <c r="I74" i="1" s="1"/>
  <c r="J74" i="1" s="1"/>
  <c r="F82" i="1"/>
  <c r="G82" i="1" s="1"/>
  <c r="I82" i="1" s="1"/>
  <c r="J82" i="1" s="1"/>
  <c r="F90" i="1"/>
  <c r="G90" i="1" s="1"/>
  <c r="F98" i="1"/>
  <c r="G98" i="1" s="1"/>
  <c r="R98" i="1" s="1"/>
  <c r="S98" i="1" s="1"/>
  <c r="F106" i="1"/>
  <c r="G106" i="1" s="1"/>
  <c r="I106" i="1" s="1"/>
  <c r="J106" i="1" s="1"/>
  <c r="F114" i="1"/>
  <c r="G114" i="1" s="1"/>
  <c r="F122" i="1"/>
  <c r="G122" i="1" s="1"/>
  <c r="F130" i="1"/>
  <c r="G130" i="1" s="1"/>
  <c r="R130" i="1" s="1"/>
  <c r="S130" i="1" s="1"/>
  <c r="F138" i="1"/>
  <c r="G138" i="1" s="1"/>
  <c r="R138" i="1" s="1"/>
  <c r="S138" i="1" s="1"/>
  <c r="T138" i="1" s="1"/>
  <c r="F146" i="1"/>
  <c r="G146" i="1" s="1"/>
  <c r="I146" i="1" s="1"/>
  <c r="J146" i="1" s="1"/>
  <c r="F154" i="1"/>
  <c r="G154" i="1" s="1"/>
  <c r="F162" i="1"/>
  <c r="G162" i="1" s="1"/>
  <c r="R162" i="1" s="1"/>
  <c r="S162" i="1" s="1"/>
  <c r="F170" i="1"/>
  <c r="G170" i="1" s="1"/>
  <c r="I170" i="1" s="1"/>
  <c r="J170" i="1" s="1"/>
  <c r="F178" i="1"/>
  <c r="G178" i="1" s="1"/>
  <c r="F186" i="1"/>
  <c r="G186" i="1" s="1"/>
  <c r="F194" i="1"/>
  <c r="G194" i="1" s="1"/>
  <c r="I194" i="1" s="1"/>
  <c r="J194" i="1" s="1"/>
  <c r="F202" i="1"/>
  <c r="G202" i="1" s="1"/>
  <c r="F210" i="1"/>
  <c r="G210" i="1" s="1"/>
  <c r="R210" i="1" s="1"/>
  <c r="S210" i="1" s="1"/>
  <c r="F218" i="1"/>
  <c r="G218" i="1" s="1"/>
  <c r="F226" i="1"/>
  <c r="G226" i="1" s="1"/>
  <c r="R226" i="1" s="1"/>
  <c r="S226" i="1" s="1"/>
  <c r="F234" i="1"/>
  <c r="G234" i="1" s="1"/>
  <c r="I234" i="1" s="1"/>
  <c r="J234" i="1" s="1"/>
  <c r="F242" i="1"/>
  <c r="G242" i="1" s="1"/>
  <c r="F250" i="1"/>
  <c r="G250" i="1" s="1"/>
  <c r="F258" i="1"/>
  <c r="G258" i="1" s="1"/>
  <c r="R258" i="1" s="1"/>
  <c r="S258" i="1" s="1"/>
  <c r="F266" i="1"/>
  <c r="G266" i="1" s="1"/>
  <c r="F274" i="1"/>
  <c r="G274" i="1" s="1"/>
  <c r="R274" i="1" s="1"/>
  <c r="S274" i="1" s="1"/>
  <c r="F282" i="1"/>
  <c r="G282" i="1" s="1"/>
  <c r="F290" i="1"/>
  <c r="G290" i="1" s="1"/>
  <c r="R290" i="1" s="1"/>
  <c r="S290" i="1" s="1"/>
  <c r="F298" i="1"/>
  <c r="G298" i="1" s="1"/>
  <c r="I298" i="1" s="1"/>
  <c r="J298" i="1" s="1"/>
  <c r="F306" i="1"/>
  <c r="G306" i="1" s="1"/>
  <c r="F314" i="1"/>
  <c r="G314" i="1" s="1"/>
  <c r="F11" i="1"/>
  <c r="G11" i="1" s="1"/>
  <c r="I11" i="1" s="1"/>
  <c r="J11" i="1" s="1"/>
  <c r="F19" i="1"/>
  <c r="G19" i="1" s="1"/>
  <c r="I19" i="1" s="1"/>
  <c r="J19" i="1" s="1"/>
  <c r="F27" i="1"/>
  <c r="G27" i="1" s="1"/>
  <c r="R27" i="1" s="1"/>
  <c r="S27" i="1" s="1"/>
  <c r="T27" i="1" s="1"/>
  <c r="F35" i="1"/>
  <c r="G35" i="1" s="1"/>
  <c r="I35" i="1" s="1"/>
  <c r="J35" i="1" s="1"/>
  <c r="F43" i="1"/>
  <c r="G43" i="1" s="1"/>
  <c r="I43" i="1" s="1"/>
  <c r="J43" i="1" s="1"/>
  <c r="F51" i="1"/>
  <c r="G51" i="1" s="1"/>
  <c r="I51" i="1" s="1"/>
  <c r="J51" i="1" s="1"/>
  <c r="F59" i="1"/>
  <c r="G59" i="1" s="1"/>
  <c r="I59" i="1" s="1"/>
  <c r="J59" i="1" s="1"/>
  <c r="F67" i="1"/>
  <c r="G67" i="1" s="1"/>
  <c r="F75" i="1"/>
  <c r="G75" i="1" s="1"/>
  <c r="R75" i="1" s="1"/>
  <c r="S75" i="1" s="1"/>
  <c r="F83" i="1"/>
  <c r="G83" i="1" s="1"/>
  <c r="I83" i="1" s="1"/>
  <c r="J83" i="1" s="1"/>
  <c r="L83" i="1" s="1"/>
  <c r="M83" i="1" s="1"/>
  <c r="F91" i="1"/>
  <c r="G91" i="1" s="1"/>
  <c r="I91" i="1" s="1"/>
  <c r="J91" i="1" s="1"/>
  <c r="F99" i="1"/>
  <c r="G99" i="1" s="1"/>
  <c r="I99" i="1" s="1"/>
  <c r="J99" i="1" s="1"/>
  <c r="F107" i="1"/>
  <c r="G107" i="1" s="1"/>
  <c r="I107" i="1" s="1"/>
  <c r="J107" i="1" s="1"/>
  <c r="F115" i="1"/>
  <c r="G115" i="1" s="1"/>
  <c r="I115" i="1" s="1"/>
  <c r="J115" i="1" s="1"/>
  <c r="F123" i="1"/>
  <c r="G123" i="1" s="1"/>
  <c r="F131" i="1"/>
  <c r="G131" i="1" s="1"/>
  <c r="I131" i="1" s="1"/>
  <c r="J131" i="1" s="1"/>
  <c r="F139" i="1"/>
  <c r="G139" i="1" s="1"/>
  <c r="R139" i="1" s="1"/>
  <c r="S139" i="1" s="1"/>
  <c r="F147" i="1"/>
  <c r="G147" i="1" s="1"/>
  <c r="I147" i="1" s="1"/>
  <c r="J147" i="1" s="1"/>
  <c r="L147" i="1" s="1"/>
  <c r="M147" i="1" s="1"/>
  <c r="F155" i="1"/>
  <c r="G155" i="1" s="1"/>
  <c r="R155" i="1" s="1"/>
  <c r="S155" i="1" s="1"/>
  <c r="F163" i="1"/>
  <c r="G163" i="1" s="1"/>
  <c r="I163" i="1" s="1"/>
  <c r="J163" i="1" s="1"/>
  <c r="F171" i="1"/>
  <c r="G171" i="1" s="1"/>
  <c r="R171" i="1" s="1"/>
  <c r="S171" i="1" s="1"/>
  <c r="F179" i="1"/>
  <c r="G179" i="1" s="1"/>
  <c r="I179" i="1" s="1"/>
  <c r="J179" i="1" s="1"/>
  <c r="L179" i="1" s="1"/>
  <c r="M179" i="1" s="1"/>
  <c r="F187" i="1"/>
  <c r="G187" i="1" s="1"/>
  <c r="F195" i="1"/>
  <c r="G195" i="1" s="1"/>
  <c r="F203" i="1"/>
  <c r="G203" i="1" s="1"/>
  <c r="F211" i="1"/>
  <c r="G211" i="1" s="1"/>
  <c r="R211" i="1" s="1"/>
  <c r="S211" i="1" s="1"/>
  <c r="F219" i="1"/>
  <c r="G219" i="1" s="1"/>
  <c r="R219" i="1" s="1"/>
  <c r="S219" i="1" s="1"/>
  <c r="T219" i="1" s="1"/>
  <c r="F227" i="1"/>
  <c r="G227" i="1" s="1"/>
  <c r="F235" i="1"/>
  <c r="G235" i="1" s="1"/>
  <c r="R235" i="1" s="1"/>
  <c r="S235" i="1" s="1"/>
  <c r="F243" i="1"/>
  <c r="G243" i="1" s="1"/>
  <c r="R243" i="1" s="1"/>
  <c r="S243" i="1" s="1"/>
  <c r="F251" i="1"/>
  <c r="G251" i="1" s="1"/>
  <c r="I251" i="1" s="1"/>
  <c r="J251" i="1" s="1"/>
  <c r="F259" i="1"/>
  <c r="G259" i="1" s="1"/>
  <c r="F267" i="1"/>
  <c r="G267" i="1" s="1"/>
  <c r="I267" i="1" s="1"/>
  <c r="J267" i="1" s="1"/>
  <c r="F275" i="1"/>
  <c r="G275" i="1" s="1"/>
  <c r="I275" i="1" s="1"/>
  <c r="J275" i="1" s="1"/>
  <c r="F283" i="1"/>
  <c r="G283" i="1" s="1"/>
  <c r="I283" i="1" s="1"/>
  <c r="J283" i="1" s="1"/>
  <c r="F291" i="1"/>
  <c r="G291" i="1" s="1"/>
  <c r="F299" i="1"/>
  <c r="G299" i="1" s="1"/>
  <c r="F307" i="1"/>
  <c r="G307" i="1" s="1"/>
  <c r="I307" i="1" s="1"/>
  <c r="J307" i="1" s="1"/>
  <c r="F315" i="1"/>
  <c r="G315" i="1" s="1"/>
  <c r="F12" i="1"/>
  <c r="G12" i="1" s="1"/>
  <c r="R12" i="1" s="1"/>
  <c r="S12" i="1" s="1"/>
  <c r="T12" i="1" s="1"/>
  <c r="F20" i="1"/>
  <c r="G20" i="1" s="1"/>
  <c r="R20" i="1" s="1"/>
  <c r="S20" i="1" s="1"/>
  <c r="T20" i="1" s="1"/>
  <c r="F28" i="1"/>
  <c r="G28" i="1" s="1"/>
  <c r="R28" i="1" s="1"/>
  <c r="S28" i="1" s="1"/>
  <c r="T28" i="1" s="1"/>
  <c r="F36" i="1"/>
  <c r="G36" i="1" s="1"/>
  <c r="I36" i="1" s="1"/>
  <c r="J36" i="1" s="1"/>
  <c r="F44" i="1"/>
  <c r="G44" i="1" s="1"/>
  <c r="R44" i="1" s="1"/>
  <c r="S44" i="1" s="1"/>
  <c r="T44" i="1" s="1"/>
  <c r="F52" i="1"/>
  <c r="G52" i="1" s="1"/>
  <c r="R52" i="1" s="1"/>
  <c r="S52" i="1" s="1"/>
  <c r="T52" i="1" s="1"/>
  <c r="F60" i="1"/>
  <c r="G60" i="1" s="1"/>
  <c r="R60" i="1" s="1"/>
  <c r="S60" i="1" s="1"/>
  <c r="T60" i="1" s="1"/>
  <c r="F68" i="1"/>
  <c r="G68" i="1" s="1"/>
  <c r="F76" i="1"/>
  <c r="G76" i="1" s="1"/>
  <c r="R76" i="1" s="1"/>
  <c r="S76" i="1" s="1"/>
  <c r="F84" i="1"/>
  <c r="G84" i="1" s="1"/>
  <c r="R84" i="1" s="1"/>
  <c r="S84" i="1" s="1"/>
  <c r="T84" i="1" s="1"/>
  <c r="F92" i="1"/>
  <c r="G92" i="1" s="1"/>
  <c r="R92" i="1" s="1"/>
  <c r="S92" i="1" s="1"/>
  <c r="T92" i="1" s="1"/>
  <c r="F100" i="1"/>
  <c r="G100" i="1" s="1"/>
  <c r="R100" i="1" s="1"/>
  <c r="S100" i="1" s="1"/>
  <c r="T100" i="1" s="1"/>
  <c r="F108" i="1"/>
  <c r="G108" i="1" s="1"/>
  <c r="R108" i="1" s="1"/>
  <c r="S108" i="1" s="1"/>
  <c r="F116" i="1"/>
  <c r="G116" i="1" s="1"/>
  <c r="R116" i="1" s="1"/>
  <c r="S116" i="1" s="1"/>
  <c r="T116" i="1" s="1"/>
  <c r="F124" i="1"/>
  <c r="G124" i="1" s="1"/>
  <c r="R124" i="1" s="1"/>
  <c r="S124" i="1" s="1"/>
  <c r="F132" i="1"/>
  <c r="G132" i="1" s="1"/>
  <c r="R132" i="1" s="1"/>
  <c r="S132" i="1" s="1"/>
  <c r="F140" i="1"/>
  <c r="G140" i="1" s="1"/>
  <c r="R140" i="1" s="1"/>
  <c r="S140" i="1" s="1"/>
  <c r="F148" i="1"/>
  <c r="G148" i="1" s="1"/>
  <c r="R148" i="1" s="1"/>
  <c r="S148" i="1" s="1"/>
  <c r="F156" i="1"/>
  <c r="G156" i="1" s="1"/>
  <c r="R156" i="1" s="1"/>
  <c r="S156" i="1" s="1"/>
  <c r="T156" i="1" s="1"/>
  <c r="F164" i="1"/>
  <c r="G164" i="1" s="1"/>
  <c r="R164" i="1" s="1"/>
  <c r="S164" i="1" s="1"/>
  <c r="T164" i="1" s="1"/>
  <c r="F172" i="1"/>
  <c r="G172" i="1" s="1"/>
  <c r="R172" i="1" s="1"/>
  <c r="S172" i="1" s="1"/>
  <c r="F180" i="1"/>
  <c r="G180" i="1" s="1"/>
  <c r="R180" i="1" s="1"/>
  <c r="S180" i="1" s="1"/>
  <c r="F188" i="1"/>
  <c r="G188" i="1" s="1"/>
  <c r="R188" i="1" s="1"/>
  <c r="S188" i="1" s="1"/>
  <c r="T188" i="1" s="1"/>
  <c r="F196" i="1"/>
  <c r="G196" i="1" s="1"/>
  <c r="R196" i="1" s="1"/>
  <c r="S196" i="1" s="1"/>
  <c r="T196" i="1" s="1"/>
  <c r="F204" i="1"/>
  <c r="G204" i="1" s="1"/>
  <c r="R204" i="1" s="1"/>
  <c r="S204" i="1" s="1"/>
  <c r="F212" i="1"/>
  <c r="G212" i="1" s="1"/>
  <c r="R212" i="1" s="1"/>
  <c r="S212" i="1" s="1"/>
  <c r="T212" i="1" s="1"/>
  <c r="F220" i="1"/>
  <c r="G220" i="1" s="1"/>
  <c r="R220" i="1" s="1"/>
  <c r="S220" i="1" s="1"/>
  <c r="T220" i="1" s="1"/>
  <c r="F228" i="1"/>
  <c r="G228" i="1" s="1"/>
  <c r="R228" i="1" s="1"/>
  <c r="S228" i="1" s="1"/>
  <c r="T228" i="1" s="1"/>
  <c r="F236" i="1"/>
  <c r="G236" i="1" s="1"/>
  <c r="R236" i="1" s="1"/>
  <c r="S236" i="1" s="1"/>
  <c r="F244" i="1"/>
  <c r="G244" i="1" s="1"/>
  <c r="R244" i="1" s="1"/>
  <c r="S244" i="1" s="1"/>
  <c r="T244" i="1" s="1"/>
  <c r="F252" i="1"/>
  <c r="G252" i="1" s="1"/>
  <c r="R252" i="1" s="1"/>
  <c r="S252" i="1" s="1"/>
  <c r="T252" i="1" s="1"/>
  <c r="F260" i="1"/>
  <c r="G260" i="1" s="1"/>
  <c r="R260" i="1" s="1"/>
  <c r="S260" i="1" s="1"/>
  <c r="F268" i="1"/>
  <c r="G268" i="1" s="1"/>
  <c r="R268" i="1" s="1"/>
  <c r="S268" i="1" s="1"/>
  <c r="T268" i="1" s="1"/>
  <c r="F276" i="1"/>
  <c r="G276" i="1" s="1"/>
  <c r="R276" i="1" s="1"/>
  <c r="S276" i="1" s="1"/>
  <c r="T276" i="1" s="1"/>
  <c r="F284" i="1"/>
  <c r="G284" i="1" s="1"/>
  <c r="R284" i="1" s="1"/>
  <c r="S284" i="1" s="1"/>
  <c r="T284" i="1" s="1"/>
  <c r="F292" i="1"/>
  <c r="G292" i="1" s="1"/>
  <c r="R292" i="1" s="1"/>
  <c r="S292" i="1" s="1"/>
  <c r="T292" i="1" s="1"/>
  <c r="F300" i="1"/>
  <c r="G300" i="1" s="1"/>
  <c r="R300" i="1" s="1"/>
  <c r="S300" i="1" s="1"/>
  <c r="F308" i="1"/>
  <c r="G308" i="1" s="1"/>
  <c r="R308" i="1" s="1"/>
  <c r="S308" i="1" s="1"/>
  <c r="F316" i="1"/>
  <c r="G316" i="1" s="1"/>
  <c r="R316" i="1" s="1"/>
  <c r="S316" i="1" s="1"/>
  <c r="T316" i="1" s="1"/>
  <c r="F13" i="1"/>
  <c r="G13" i="1" s="1"/>
  <c r="F21" i="1"/>
  <c r="G21" i="1" s="1"/>
  <c r="I21" i="1" s="1"/>
  <c r="J21" i="1" s="1"/>
  <c r="F29" i="1"/>
  <c r="G29" i="1" s="1"/>
  <c r="R29" i="1" s="1"/>
  <c r="S29" i="1" s="1"/>
  <c r="F37" i="1"/>
  <c r="G37" i="1" s="1"/>
  <c r="I37" i="1" s="1"/>
  <c r="J37" i="1" s="1"/>
  <c r="F45" i="1"/>
  <c r="G45" i="1" s="1"/>
  <c r="R45" i="1" s="1"/>
  <c r="S45" i="1" s="1"/>
  <c r="F53" i="1"/>
  <c r="G53" i="1" s="1"/>
  <c r="F61" i="1"/>
  <c r="G61" i="1" s="1"/>
  <c r="R61" i="1" s="1"/>
  <c r="S61" i="1" s="1"/>
  <c r="F69" i="1"/>
  <c r="G69" i="1" s="1"/>
  <c r="I69" i="1" s="1"/>
  <c r="J69" i="1" s="1"/>
  <c r="L69" i="1" s="1"/>
  <c r="M69" i="1" s="1"/>
  <c r="F77" i="1"/>
  <c r="G77" i="1" s="1"/>
  <c r="F85" i="1"/>
  <c r="G85" i="1" s="1"/>
  <c r="I85" i="1" s="1"/>
  <c r="J85" i="1" s="1"/>
  <c r="L85" i="1" s="1"/>
  <c r="M85" i="1" s="1"/>
  <c r="F93" i="1"/>
  <c r="G93" i="1" s="1"/>
  <c r="I93" i="1" s="1"/>
  <c r="J93" i="1" s="1"/>
  <c r="L93" i="1" s="1"/>
  <c r="M93" i="1" s="1"/>
  <c r="F101" i="1"/>
  <c r="G101" i="1" s="1"/>
  <c r="R101" i="1" s="1"/>
  <c r="S101" i="1" s="1"/>
  <c r="T101" i="1" s="1"/>
  <c r="F109" i="1"/>
  <c r="G109" i="1" s="1"/>
  <c r="I109" i="1" s="1"/>
  <c r="J109" i="1" s="1"/>
  <c r="L109" i="1" s="1"/>
  <c r="M109" i="1" s="1"/>
  <c r="F117" i="1"/>
  <c r="G117" i="1" s="1"/>
  <c r="F125" i="1"/>
  <c r="G125" i="1" s="1"/>
  <c r="I125" i="1" s="1"/>
  <c r="J125" i="1" s="1"/>
  <c r="F133" i="1"/>
  <c r="G133" i="1" s="1"/>
  <c r="I133" i="1" s="1"/>
  <c r="J133" i="1" s="1"/>
  <c r="F141" i="1"/>
  <c r="G141" i="1" s="1"/>
  <c r="F149" i="1"/>
  <c r="G149" i="1" s="1"/>
  <c r="F157" i="1"/>
  <c r="G157" i="1" s="1"/>
  <c r="I157" i="1" s="1"/>
  <c r="J157" i="1" s="1"/>
  <c r="L157" i="1" s="1"/>
  <c r="M157" i="1" s="1"/>
  <c r="F165" i="1"/>
  <c r="G165" i="1" s="1"/>
  <c r="R165" i="1" s="1"/>
  <c r="S165" i="1" s="1"/>
  <c r="T165" i="1" s="1"/>
  <c r="F173" i="1"/>
  <c r="G173" i="1" s="1"/>
  <c r="I173" i="1" s="1"/>
  <c r="J173" i="1" s="1"/>
  <c r="L173" i="1" s="1"/>
  <c r="M173" i="1" s="1"/>
  <c r="F181" i="1"/>
  <c r="G181" i="1" s="1"/>
  <c r="F189" i="1"/>
  <c r="G189" i="1" s="1"/>
  <c r="I189" i="1" s="1"/>
  <c r="J189" i="1" s="1"/>
  <c r="L189" i="1" s="1"/>
  <c r="M189" i="1" s="1"/>
  <c r="F197" i="1"/>
  <c r="G197" i="1" s="1"/>
  <c r="R197" i="1" s="1"/>
  <c r="S197" i="1" s="1"/>
  <c r="F205" i="1"/>
  <c r="G205" i="1" s="1"/>
  <c r="F213" i="1"/>
  <c r="G213" i="1" s="1"/>
  <c r="F221" i="1"/>
  <c r="G221" i="1" s="1"/>
  <c r="I221" i="1" s="1"/>
  <c r="J221" i="1" s="1"/>
  <c r="L221" i="1" s="1"/>
  <c r="M221" i="1" s="1"/>
  <c r="F229" i="1"/>
  <c r="G229" i="1" s="1"/>
  <c r="R229" i="1" s="1"/>
  <c r="S229" i="1" s="1"/>
  <c r="F237" i="1"/>
  <c r="G237" i="1" s="1"/>
  <c r="I237" i="1" s="1"/>
  <c r="J237" i="1" s="1"/>
  <c r="L237" i="1" s="1"/>
  <c r="M237" i="1" s="1"/>
  <c r="F245" i="1"/>
  <c r="G245" i="1" s="1"/>
  <c r="F253" i="1"/>
  <c r="G253" i="1" s="1"/>
  <c r="I253" i="1" s="1"/>
  <c r="J253" i="1" s="1"/>
  <c r="F261" i="1"/>
  <c r="G261" i="1" s="1"/>
  <c r="I261" i="1" s="1"/>
  <c r="J261" i="1" s="1"/>
  <c r="L261" i="1" s="1"/>
  <c r="M261" i="1" s="1"/>
  <c r="F269" i="1"/>
  <c r="G269" i="1" s="1"/>
  <c r="F277" i="1"/>
  <c r="G277" i="1" s="1"/>
  <c r="I277" i="1" s="1"/>
  <c r="J277" i="1" s="1"/>
  <c r="L277" i="1" s="1"/>
  <c r="M277" i="1" s="1"/>
  <c r="F285" i="1"/>
  <c r="G285" i="1" s="1"/>
  <c r="R285" i="1" s="1"/>
  <c r="S285" i="1" s="1"/>
  <c r="F293" i="1"/>
  <c r="G293" i="1" s="1"/>
  <c r="R293" i="1" s="1"/>
  <c r="S293" i="1" s="1"/>
  <c r="T293" i="1" s="1"/>
  <c r="F301" i="1"/>
  <c r="G301" i="1" s="1"/>
  <c r="I301" i="1" s="1"/>
  <c r="J301" i="1" s="1"/>
  <c r="L301" i="1" s="1"/>
  <c r="M301" i="1" s="1"/>
  <c r="F309" i="1"/>
  <c r="G309" i="1" s="1"/>
  <c r="F317" i="1"/>
  <c r="G317" i="1" s="1"/>
  <c r="I317" i="1" s="1"/>
  <c r="J317" i="1" s="1"/>
  <c r="L317" i="1" s="1"/>
  <c r="M317" i="1" s="1"/>
  <c r="F14" i="1"/>
  <c r="G14" i="1" s="1"/>
  <c r="R14" i="1" s="1"/>
  <c r="S14" i="1" s="1"/>
  <c r="F22" i="1"/>
  <c r="G22" i="1" s="1"/>
  <c r="F30" i="1"/>
  <c r="G30" i="1" s="1"/>
  <c r="R30" i="1" s="1"/>
  <c r="S30" i="1" s="1"/>
  <c r="F38" i="1"/>
  <c r="G38" i="1" s="1"/>
  <c r="I38" i="1" s="1"/>
  <c r="J38" i="1" s="1"/>
  <c r="F46" i="1"/>
  <c r="G46" i="1" s="1"/>
  <c r="R46" i="1" s="1"/>
  <c r="S46" i="1" s="1"/>
  <c r="F54" i="1"/>
  <c r="G54" i="1" s="1"/>
  <c r="R54" i="1" s="1"/>
  <c r="S54" i="1" s="1"/>
  <c r="F62" i="1"/>
  <c r="G62" i="1" s="1"/>
  <c r="R62" i="1" s="1"/>
  <c r="S62" i="1" s="1"/>
  <c r="F70" i="1"/>
  <c r="G70" i="1" s="1"/>
  <c r="I70" i="1" s="1"/>
  <c r="J70" i="1" s="1"/>
  <c r="F78" i="1"/>
  <c r="G78" i="1" s="1"/>
  <c r="R78" i="1" s="1"/>
  <c r="S78" i="1" s="1"/>
  <c r="F86" i="1"/>
  <c r="G86" i="1" s="1"/>
  <c r="F94" i="1"/>
  <c r="G94" i="1" s="1"/>
  <c r="F102" i="1"/>
  <c r="G102" i="1" s="1"/>
  <c r="R102" i="1" s="1"/>
  <c r="S102" i="1" s="1"/>
  <c r="F110" i="1"/>
  <c r="G110" i="1" s="1"/>
  <c r="R110" i="1" s="1"/>
  <c r="S110" i="1" s="1"/>
  <c r="T110" i="1" s="1"/>
  <c r="F118" i="1"/>
  <c r="G118" i="1" s="1"/>
  <c r="R118" i="1" s="1"/>
  <c r="S118" i="1" s="1"/>
  <c r="F126" i="1"/>
  <c r="G126" i="1" s="1"/>
  <c r="F134" i="1"/>
  <c r="G134" i="1" s="1"/>
  <c r="R134" i="1" s="1"/>
  <c r="S134" i="1" s="1"/>
  <c r="F142" i="1"/>
  <c r="G142" i="1" s="1"/>
  <c r="I142" i="1" s="1"/>
  <c r="J142" i="1" s="1"/>
  <c r="F150" i="1"/>
  <c r="G150" i="1" s="1"/>
  <c r="R150" i="1" s="1"/>
  <c r="S150" i="1" s="1"/>
  <c r="F158" i="1"/>
  <c r="G158" i="1" s="1"/>
  <c r="F166" i="1"/>
  <c r="G166" i="1" s="1"/>
  <c r="R166" i="1" s="1"/>
  <c r="S166" i="1" s="1"/>
  <c r="F174" i="1"/>
  <c r="G174" i="1" s="1"/>
  <c r="R174" i="1" s="1"/>
  <c r="S174" i="1" s="1"/>
  <c r="T174" i="1" s="1"/>
  <c r="F182" i="1"/>
  <c r="G182" i="1" s="1"/>
  <c r="R182" i="1" s="1"/>
  <c r="S182" i="1" s="1"/>
  <c r="F190" i="1"/>
  <c r="G190" i="1" s="1"/>
  <c r="F198" i="1"/>
  <c r="G198" i="1" s="1"/>
  <c r="R198" i="1" s="1"/>
  <c r="S198" i="1" s="1"/>
  <c r="F206" i="1"/>
  <c r="G206" i="1" s="1"/>
  <c r="R206" i="1" s="1"/>
  <c r="S206" i="1" s="1"/>
  <c r="F214" i="1"/>
  <c r="G214" i="1" s="1"/>
  <c r="F222" i="1"/>
  <c r="G222" i="1" s="1"/>
  <c r="F230" i="1"/>
  <c r="G230" i="1" s="1"/>
  <c r="R230" i="1" s="1"/>
  <c r="S230" i="1" s="1"/>
  <c r="F238" i="1"/>
  <c r="G238" i="1" s="1"/>
  <c r="I238" i="1" s="1"/>
  <c r="J238" i="1" s="1"/>
  <c r="F246" i="1"/>
  <c r="G246" i="1" s="1"/>
  <c r="I246" i="1" s="1"/>
  <c r="J246" i="1" s="1"/>
  <c r="F254" i="1"/>
  <c r="G254" i="1" s="1"/>
  <c r="R254" i="1" s="1"/>
  <c r="S254" i="1" s="1"/>
  <c r="F262" i="1"/>
  <c r="G262" i="1" s="1"/>
  <c r="I262" i="1" s="1"/>
  <c r="J262" i="1" s="1"/>
  <c r="L262" i="1" s="1"/>
  <c r="M262" i="1" s="1"/>
  <c r="F270" i="1"/>
  <c r="G270" i="1" s="1"/>
  <c r="R270" i="1" s="1"/>
  <c r="S270" i="1" s="1"/>
  <c r="F278" i="1"/>
  <c r="G278" i="1" s="1"/>
  <c r="F286" i="1"/>
  <c r="G286" i="1" s="1"/>
  <c r="R286" i="1" s="1"/>
  <c r="S286" i="1" s="1"/>
  <c r="T286" i="1" s="1"/>
  <c r="F294" i="1"/>
  <c r="G294" i="1" s="1"/>
  <c r="R294" i="1" s="1"/>
  <c r="S294" i="1" s="1"/>
  <c r="T294" i="1" s="1"/>
  <c r="F302" i="1"/>
  <c r="G302" i="1" s="1"/>
  <c r="R302" i="1" s="1"/>
  <c r="S302" i="1" s="1"/>
  <c r="T302" i="1" s="1"/>
  <c r="F310" i="1"/>
  <c r="G310" i="1" s="1"/>
  <c r="R310" i="1" s="1"/>
  <c r="S310" i="1" s="1"/>
  <c r="T310" i="1" s="1"/>
  <c r="F318" i="1"/>
  <c r="G318" i="1" s="1"/>
  <c r="F15" i="1"/>
  <c r="G15" i="1" s="1"/>
  <c r="R15" i="1" s="1"/>
  <c r="S15" i="1" s="1"/>
  <c r="T15" i="1" s="1"/>
  <c r="F23" i="1"/>
  <c r="G23" i="1" s="1"/>
  <c r="R23" i="1" s="1"/>
  <c r="S23" i="1" s="1"/>
  <c r="F31" i="1"/>
  <c r="G31" i="1" s="1"/>
  <c r="R31" i="1" s="1"/>
  <c r="S31" i="1" s="1"/>
  <c r="F39" i="1"/>
  <c r="G39" i="1" s="1"/>
  <c r="R39" i="1" s="1"/>
  <c r="S39" i="1" s="1"/>
  <c r="F47" i="1"/>
  <c r="G47" i="1" s="1"/>
  <c r="R47" i="1" s="1"/>
  <c r="S47" i="1" s="1"/>
  <c r="F55" i="1"/>
  <c r="G55" i="1" s="1"/>
  <c r="R55" i="1" s="1"/>
  <c r="S55" i="1" s="1"/>
  <c r="F63" i="1"/>
  <c r="G63" i="1" s="1"/>
  <c r="R63" i="1" s="1"/>
  <c r="S63" i="1" s="1"/>
  <c r="T63" i="1" s="1"/>
  <c r="F71" i="1"/>
  <c r="G71" i="1" s="1"/>
  <c r="R71" i="1" s="1"/>
  <c r="S71" i="1" s="1"/>
  <c r="F79" i="1"/>
  <c r="G79" i="1" s="1"/>
  <c r="R79" i="1" s="1"/>
  <c r="S79" i="1" s="1"/>
  <c r="T79" i="1" s="1"/>
  <c r="F87" i="1"/>
  <c r="G87" i="1" s="1"/>
  <c r="R87" i="1" s="1"/>
  <c r="S87" i="1" s="1"/>
  <c r="T87" i="1" s="1"/>
  <c r="F95" i="1"/>
  <c r="G95" i="1" s="1"/>
  <c r="R95" i="1" s="1"/>
  <c r="S95" i="1" s="1"/>
  <c r="F103" i="1"/>
  <c r="G103" i="1" s="1"/>
  <c r="F111" i="1"/>
  <c r="G111" i="1" s="1"/>
  <c r="R111" i="1" s="1"/>
  <c r="S111" i="1" s="1"/>
  <c r="T111" i="1" s="1"/>
  <c r="F119" i="1"/>
  <c r="G119" i="1" s="1"/>
  <c r="R119" i="1" s="1"/>
  <c r="S119" i="1" s="1"/>
  <c r="T119" i="1" s="1"/>
  <c r="F127" i="1"/>
  <c r="G127" i="1" s="1"/>
  <c r="R127" i="1" s="1"/>
  <c r="S127" i="1" s="1"/>
  <c r="T127" i="1" s="1"/>
  <c r="F135" i="1"/>
  <c r="G135" i="1" s="1"/>
  <c r="F143" i="1"/>
  <c r="G143" i="1" s="1"/>
  <c r="R143" i="1" s="1"/>
  <c r="S143" i="1" s="1"/>
  <c r="T143" i="1" s="1"/>
  <c r="F151" i="1"/>
  <c r="G151" i="1" s="1"/>
  <c r="R151" i="1" s="1"/>
  <c r="S151" i="1" s="1"/>
  <c r="F159" i="1"/>
  <c r="G159" i="1" s="1"/>
  <c r="R159" i="1" s="1"/>
  <c r="S159" i="1" s="1"/>
  <c r="F167" i="1"/>
  <c r="G167" i="1" s="1"/>
  <c r="F175" i="1"/>
  <c r="G175" i="1" s="1"/>
  <c r="R175" i="1" s="1"/>
  <c r="S175" i="1" s="1"/>
  <c r="T175" i="1" s="1"/>
  <c r="F183" i="1"/>
  <c r="G183" i="1" s="1"/>
  <c r="I183" i="1" s="1"/>
  <c r="J183" i="1" s="1"/>
  <c r="F191" i="1"/>
  <c r="G191" i="1" s="1"/>
  <c r="R191" i="1" s="1"/>
  <c r="S191" i="1" s="1"/>
  <c r="F199" i="1"/>
  <c r="G199" i="1" s="1"/>
  <c r="F207" i="1"/>
  <c r="G207" i="1" s="1"/>
  <c r="R207" i="1" s="1"/>
  <c r="S207" i="1" s="1"/>
  <c r="T207" i="1" s="1"/>
  <c r="F215" i="1"/>
  <c r="G215" i="1" s="1"/>
  <c r="R215" i="1" s="1"/>
  <c r="S215" i="1" s="1"/>
  <c r="T215" i="1" s="1"/>
  <c r="F223" i="1"/>
  <c r="G223" i="1" s="1"/>
  <c r="R223" i="1" s="1"/>
  <c r="S223" i="1" s="1"/>
  <c r="F231" i="1"/>
  <c r="G231" i="1" s="1"/>
  <c r="F239" i="1"/>
  <c r="G239" i="1" s="1"/>
  <c r="R239" i="1" s="1"/>
  <c r="S239" i="1" s="1"/>
  <c r="T239" i="1" s="1"/>
  <c r="F247" i="1"/>
  <c r="G247" i="1" s="1"/>
  <c r="R247" i="1" s="1"/>
  <c r="S247" i="1" s="1"/>
  <c r="T247" i="1" s="1"/>
  <c r="F255" i="1"/>
  <c r="G255" i="1" s="1"/>
  <c r="R255" i="1" s="1"/>
  <c r="S255" i="1" s="1"/>
  <c r="T255" i="1" s="1"/>
  <c r="F263" i="1"/>
  <c r="G263" i="1" s="1"/>
  <c r="R263" i="1" s="1"/>
  <c r="S263" i="1" s="1"/>
  <c r="T263" i="1" s="1"/>
  <c r="F271" i="1"/>
  <c r="G271" i="1" s="1"/>
  <c r="R271" i="1" s="1"/>
  <c r="S271" i="1" s="1"/>
  <c r="F279" i="1"/>
  <c r="G279" i="1" s="1"/>
  <c r="R279" i="1" s="1"/>
  <c r="S279" i="1" s="1"/>
  <c r="T279" i="1" s="1"/>
  <c r="F287" i="1"/>
  <c r="G287" i="1" s="1"/>
  <c r="F295" i="1"/>
  <c r="G295" i="1" s="1"/>
  <c r="F303" i="1"/>
  <c r="G303" i="1" s="1"/>
  <c r="R303" i="1" s="1"/>
  <c r="S303" i="1" s="1"/>
  <c r="T303" i="1" s="1"/>
  <c r="F311" i="1"/>
  <c r="G311" i="1" s="1"/>
  <c r="R311" i="1" s="1"/>
  <c r="S311" i="1" s="1"/>
  <c r="T311" i="1" s="1"/>
  <c r="F319" i="1"/>
  <c r="G319" i="1" s="1"/>
  <c r="R319" i="1" s="1"/>
  <c r="S319" i="1" s="1"/>
  <c r="T319" i="1" s="1"/>
  <c r="T223" i="1"/>
  <c r="K86" i="1"/>
  <c r="K78" i="1"/>
  <c r="K70" i="1"/>
  <c r="K62" i="1"/>
  <c r="K54" i="1"/>
  <c r="K46" i="1"/>
  <c r="K38" i="1"/>
  <c r="K29" i="1"/>
  <c r="K20" i="1"/>
  <c r="K11" i="1"/>
  <c r="K17" i="1"/>
  <c r="T236" i="1"/>
  <c r="K171" i="1"/>
  <c r="K163" i="1"/>
  <c r="K155" i="1"/>
  <c r="K147" i="1"/>
  <c r="K139" i="1"/>
  <c r="K131" i="1"/>
  <c r="L131" i="1" s="1"/>
  <c r="M131" i="1" s="1"/>
  <c r="K123" i="1"/>
  <c r="K115" i="1"/>
  <c r="L115" i="1" s="1"/>
  <c r="M115" i="1" s="1"/>
  <c r="K107" i="1"/>
  <c r="K99" i="1"/>
  <c r="K91" i="1"/>
  <c r="K83" i="1"/>
  <c r="K75" i="1"/>
  <c r="K67" i="1"/>
  <c r="K59" i="1"/>
  <c r="K51" i="1"/>
  <c r="K43" i="1"/>
  <c r="K35" i="1"/>
  <c r="K25" i="1"/>
  <c r="K16" i="1"/>
  <c r="K10" i="1"/>
  <c r="K122" i="1"/>
  <c r="K114" i="1"/>
  <c r="K106" i="1"/>
  <c r="K98" i="1"/>
  <c r="K90" i="1"/>
  <c r="K82" i="1"/>
  <c r="K74" i="1"/>
  <c r="K66" i="1"/>
  <c r="K58" i="1"/>
  <c r="K50" i="1"/>
  <c r="K42" i="1"/>
  <c r="K33" i="1"/>
  <c r="K24" i="1"/>
  <c r="K15" i="1"/>
  <c r="K289" i="1"/>
  <c r="K281" i="1"/>
  <c r="K273" i="1"/>
  <c r="K265" i="1"/>
  <c r="K257" i="1"/>
  <c r="K249" i="1"/>
  <c r="K241" i="1"/>
  <c r="K233" i="1"/>
  <c r="K225" i="1"/>
  <c r="K217" i="1"/>
  <c r="K209" i="1"/>
  <c r="K201" i="1"/>
  <c r="K193" i="1"/>
  <c r="K185" i="1"/>
  <c r="K177" i="1"/>
  <c r="K169" i="1"/>
  <c r="K161" i="1"/>
  <c r="K153" i="1"/>
  <c r="K145" i="1"/>
  <c r="K137" i="1"/>
  <c r="K129" i="1"/>
  <c r="K121" i="1"/>
  <c r="K113" i="1"/>
  <c r="K105" i="1"/>
  <c r="K97" i="1"/>
  <c r="K89" i="1"/>
  <c r="K81" i="1"/>
  <c r="K73" i="1"/>
  <c r="K65" i="1"/>
  <c r="K57" i="1"/>
  <c r="K49" i="1"/>
  <c r="K41" i="1"/>
  <c r="K32" i="1"/>
  <c r="K23" i="1"/>
  <c r="K14" i="1"/>
  <c r="P278" i="1"/>
  <c r="P270" i="1"/>
  <c r="P262" i="1"/>
  <c r="P254" i="1"/>
  <c r="P246" i="1"/>
  <c r="P238" i="1"/>
  <c r="P230" i="1"/>
  <c r="P222" i="1"/>
  <c r="P214" i="1"/>
  <c r="P206" i="1"/>
  <c r="P198" i="1"/>
  <c r="P190" i="1"/>
  <c r="P182" i="1"/>
  <c r="P174" i="1"/>
  <c r="P166" i="1"/>
  <c r="P158" i="1"/>
  <c r="P150" i="1"/>
  <c r="P142" i="1"/>
  <c r="P134" i="1"/>
  <c r="P126" i="1"/>
  <c r="P118" i="1"/>
  <c r="P110" i="1"/>
  <c r="P102" i="1"/>
  <c r="P94" i="1"/>
  <c r="P86" i="1"/>
  <c r="P78" i="1"/>
  <c r="P70" i="1"/>
  <c r="P62" i="1"/>
  <c r="P54" i="1"/>
  <c r="P46" i="1"/>
  <c r="P38" i="1"/>
  <c r="P30" i="1"/>
  <c r="P22" i="1"/>
  <c r="P14" i="1"/>
  <c r="K34" i="1"/>
  <c r="K26" i="1"/>
  <c r="K18" i="1"/>
  <c r="P317" i="1"/>
  <c r="P309" i="1"/>
  <c r="P301" i="1"/>
  <c r="P293" i="1"/>
  <c r="P285" i="1"/>
  <c r="P277" i="1"/>
  <c r="P269" i="1"/>
  <c r="P261" i="1"/>
  <c r="P253" i="1"/>
  <c r="P245" i="1"/>
  <c r="P237" i="1"/>
  <c r="P229" i="1"/>
  <c r="P221" i="1"/>
  <c r="P213" i="1"/>
  <c r="P205" i="1"/>
  <c r="P197" i="1"/>
  <c r="P189" i="1"/>
  <c r="P181" i="1"/>
  <c r="P173" i="1"/>
  <c r="P165" i="1"/>
  <c r="P157" i="1"/>
  <c r="P149" i="1"/>
  <c r="P141" i="1"/>
  <c r="P133" i="1"/>
  <c r="P125" i="1"/>
  <c r="P117" i="1"/>
  <c r="P109" i="1"/>
  <c r="P101" i="1"/>
  <c r="P93" i="1"/>
  <c r="P85" i="1"/>
  <c r="P77" i="1"/>
  <c r="P69" i="1"/>
  <c r="P61" i="1"/>
  <c r="P53" i="1"/>
  <c r="P45" i="1"/>
  <c r="P37" i="1"/>
  <c r="P29" i="1"/>
  <c r="P21" i="1"/>
  <c r="P13" i="1"/>
  <c r="P315" i="1"/>
  <c r="P307" i="1"/>
  <c r="P299" i="1"/>
  <c r="P291" i="1"/>
  <c r="P283" i="1"/>
  <c r="P275" i="1"/>
  <c r="P267" i="1"/>
  <c r="P259" i="1"/>
  <c r="P251" i="1"/>
  <c r="P243" i="1"/>
  <c r="P235" i="1"/>
  <c r="P227" i="1"/>
  <c r="P219" i="1"/>
  <c r="P211" i="1"/>
  <c r="P203" i="1"/>
  <c r="P195" i="1"/>
  <c r="P187" i="1"/>
  <c r="P179" i="1"/>
  <c r="P171" i="1"/>
  <c r="P163" i="1"/>
  <c r="P155" i="1"/>
  <c r="P147" i="1"/>
  <c r="P139" i="1"/>
  <c r="P131" i="1"/>
  <c r="P123" i="1"/>
  <c r="P115" i="1"/>
  <c r="P107" i="1"/>
  <c r="P99" i="1"/>
  <c r="P91" i="1"/>
  <c r="P83" i="1"/>
  <c r="P75" i="1"/>
  <c r="P67" i="1"/>
  <c r="P59" i="1"/>
  <c r="P51" i="1"/>
  <c r="P43" i="1"/>
  <c r="P35" i="1"/>
  <c r="P27" i="1"/>
  <c r="P19" i="1"/>
  <c r="P11" i="1"/>
  <c r="P314" i="1"/>
  <c r="P306" i="1"/>
  <c r="P298" i="1"/>
  <c r="P290" i="1"/>
  <c r="P282" i="1"/>
  <c r="P274" i="1"/>
  <c r="P266" i="1"/>
  <c r="P258" i="1"/>
  <c r="P250" i="1"/>
  <c r="P242" i="1"/>
  <c r="P234" i="1"/>
  <c r="P226" i="1"/>
  <c r="P218" i="1"/>
  <c r="P210" i="1"/>
  <c r="P202" i="1"/>
  <c r="P194" i="1"/>
  <c r="P186" i="1"/>
  <c r="P178" i="1"/>
  <c r="P170" i="1"/>
  <c r="P162" i="1"/>
  <c r="P154" i="1"/>
  <c r="P146" i="1"/>
  <c r="P138" i="1"/>
  <c r="P130" i="1"/>
  <c r="P122" i="1"/>
  <c r="P114" i="1"/>
  <c r="P106" i="1"/>
  <c r="P98" i="1"/>
  <c r="P90" i="1"/>
  <c r="P82" i="1"/>
  <c r="P74" i="1"/>
  <c r="P66" i="1"/>
  <c r="P58" i="1"/>
  <c r="P50" i="1"/>
  <c r="P42" i="1"/>
  <c r="P34" i="1"/>
  <c r="P26" i="1"/>
  <c r="P18" i="1"/>
  <c r="P10" i="1"/>
  <c r="P313" i="1"/>
  <c r="P305" i="1"/>
  <c r="P297" i="1"/>
  <c r="P289" i="1"/>
  <c r="P281" i="1"/>
  <c r="P273" i="1"/>
  <c r="P265" i="1"/>
  <c r="P257" i="1"/>
  <c r="P249" i="1"/>
  <c r="P241" i="1"/>
  <c r="P233" i="1"/>
  <c r="P225" i="1"/>
  <c r="P217" i="1"/>
  <c r="P209" i="1"/>
  <c r="P201" i="1"/>
  <c r="P193" i="1"/>
  <c r="P185" i="1"/>
  <c r="P177" i="1"/>
  <c r="P169" i="1"/>
  <c r="P161" i="1"/>
  <c r="P153" i="1"/>
  <c r="P145" i="1"/>
  <c r="P137" i="1"/>
  <c r="P129" i="1"/>
  <c r="P121" i="1"/>
  <c r="P113" i="1"/>
  <c r="P105" i="1"/>
  <c r="P97" i="1"/>
  <c r="P89" i="1"/>
  <c r="P81" i="1"/>
  <c r="P73" i="1"/>
  <c r="P65" i="1"/>
  <c r="P57" i="1"/>
  <c r="P49" i="1"/>
  <c r="P41" i="1"/>
  <c r="P33" i="1"/>
  <c r="P25" i="1"/>
  <c r="P17" i="1"/>
  <c r="P104" i="1"/>
  <c r="T104" i="1" s="1"/>
  <c r="P96" i="1"/>
  <c r="T96" i="1" s="1"/>
  <c r="P88" i="1"/>
  <c r="P80" i="1"/>
  <c r="T80" i="1" s="1"/>
  <c r="P72" i="1"/>
  <c r="P64" i="1"/>
  <c r="P56" i="1"/>
  <c r="P48" i="1"/>
  <c r="P40" i="1"/>
  <c r="P32" i="1"/>
  <c r="P24" i="1"/>
  <c r="P16" i="1"/>
  <c r="T16" i="1" s="1"/>
  <c r="P9" i="1"/>
  <c r="P71" i="1"/>
  <c r="P63" i="1"/>
  <c r="P55" i="1"/>
  <c r="P47" i="1"/>
  <c r="P39" i="1"/>
  <c r="T39" i="1" s="1"/>
  <c r="P31" i="1"/>
  <c r="P23" i="1"/>
  <c r="T23" i="1" s="1"/>
  <c r="L251" i="1"/>
  <c r="M251" i="1" s="1"/>
  <c r="L21" i="1"/>
  <c r="M21" i="1" s="1"/>
  <c r="L37" i="1"/>
  <c r="M37" i="1" s="1"/>
  <c r="L163" i="1"/>
  <c r="M163" i="1" s="1"/>
  <c r="R314" i="1"/>
  <c r="S314" i="1" s="1"/>
  <c r="R218" i="1"/>
  <c r="S218" i="1" s="1"/>
  <c r="T218" i="1" s="1"/>
  <c r="R202" i="1"/>
  <c r="S202" i="1" s="1"/>
  <c r="R186" i="1"/>
  <c r="S186" i="1" s="1"/>
  <c r="R154" i="1"/>
  <c r="S154" i="1" s="1"/>
  <c r="R122" i="1"/>
  <c r="S122" i="1" s="1"/>
  <c r="R58" i="1"/>
  <c r="S58" i="1" s="1"/>
  <c r="R26" i="1"/>
  <c r="S26" i="1" s="1"/>
  <c r="R10" i="1"/>
  <c r="S10" i="1" s="1"/>
  <c r="T10" i="1" s="1"/>
  <c r="I55" i="1"/>
  <c r="J55" i="1" s="1"/>
  <c r="R306" i="1"/>
  <c r="S306" i="1" s="1"/>
  <c r="I227" i="1"/>
  <c r="J227" i="1" s="1"/>
  <c r="I195" i="1"/>
  <c r="J195" i="1" s="1"/>
  <c r="I67" i="1"/>
  <c r="J67" i="1" s="1"/>
  <c r="I286" i="1"/>
  <c r="J286" i="1" s="1"/>
  <c r="I46" i="1"/>
  <c r="J46" i="1" s="1"/>
  <c r="I39" i="1"/>
  <c r="J39" i="1" s="1"/>
  <c r="I205" i="1"/>
  <c r="J205" i="1" s="1"/>
  <c r="R114" i="1"/>
  <c r="S114" i="1" s="1"/>
  <c r="I114" i="1"/>
  <c r="J114" i="1" s="1"/>
  <c r="R66" i="1"/>
  <c r="S66" i="1" s="1"/>
  <c r="R313" i="1"/>
  <c r="S313" i="1" s="1"/>
  <c r="R305" i="1"/>
  <c r="S305" i="1" s="1"/>
  <c r="R297" i="1"/>
  <c r="S297" i="1" s="1"/>
  <c r="R273" i="1"/>
  <c r="S273" i="1" s="1"/>
  <c r="R241" i="1"/>
  <c r="S241" i="1" s="1"/>
  <c r="R233" i="1"/>
  <c r="S233" i="1" s="1"/>
  <c r="R209" i="1"/>
  <c r="S209" i="1" s="1"/>
  <c r="R193" i="1"/>
  <c r="S193" i="1" s="1"/>
  <c r="R177" i="1"/>
  <c r="S177" i="1" s="1"/>
  <c r="R169" i="1"/>
  <c r="S169" i="1" s="1"/>
  <c r="R145" i="1"/>
  <c r="S145" i="1" s="1"/>
  <c r="R113" i="1"/>
  <c r="S113" i="1" s="1"/>
  <c r="R105" i="1"/>
  <c r="S105" i="1" s="1"/>
  <c r="R81" i="1"/>
  <c r="S81" i="1" s="1"/>
  <c r="R57" i="1"/>
  <c r="S57" i="1" s="1"/>
  <c r="R49" i="1"/>
  <c r="S49" i="1" s="1"/>
  <c r="R41" i="1"/>
  <c r="S41" i="1" s="1"/>
  <c r="R17" i="1"/>
  <c r="S17" i="1" s="1"/>
  <c r="I314" i="1"/>
  <c r="J314" i="1" s="1"/>
  <c r="I258" i="1"/>
  <c r="J258" i="1" s="1"/>
  <c r="I154" i="1"/>
  <c r="J154" i="1" s="1"/>
  <c r="I80" i="1"/>
  <c r="J80" i="1" s="1"/>
  <c r="I62" i="1"/>
  <c r="J62" i="1" s="1"/>
  <c r="I44" i="1"/>
  <c r="J44" i="1" s="1"/>
  <c r="I26" i="1"/>
  <c r="J26" i="1" s="1"/>
  <c r="R266" i="1"/>
  <c r="S266" i="1" s="1"/>
  <c r="I266" i="1"/>
  <c r="J266" i="1" s="1"/>
  <c r="R242" i="1"/>
  <c r="S242" i="1" s="1"/>
  <c r="I242" i="1"/>
  <c r="J242" i="1" s="1"/>
  <c r="I130" i="1"/>
  <c r="J130" i="1" s="1"/>
  <c r="R50" i="1"/>
  <c r="S50" i="1" s="1"/>
  <c r="T50" i="1" s="1"/>
  <c r="I50" i="1"/>
  <c r="J50" i="1" s="1"/>
  <c r="R24" i="1"/>
  <c r="S24" i="1" s="1"/>
  <c r="I24" i="1"/>
  <c r="J24" i="1" s="1"/>
  <c r="I279" i="1"/>
  <c r="J279" i="1" s="1"/>
  <c r="I254" i="1"/>
  <c r="J254" i="1" s="1"/>
  <c r="I202" i="1"/>
  <c r="J202" i="1" s="1"/>
  <c r="I150" i="1"/>
  <c r="J150" i="1" s="1"/>
  <c r="R282" i="1"/>
  <c r="S282" i="1" s="1"/>
  <c r="I282" i="1"/>
  <c r="J282" i="1" s="1"/>
  <c r="R178" i="1"/>
  <c r="S178" i="1" s="1"/>
  <c r="I178" i="1"/>
  <c r="J178" i="1" s="1"/>
  <c r="R72" i="1"/>
  <c r="S72" i="1" s="1"/>
  <c r="I72" i="1"/>
  <c r="J72" i="1" s="1"/>
  <c r="R56" i="1"/>
  <c r="S56" i="1" s="1"/>
  <c r="T56" i="1" s="1"/>
  <c r="R295" i="1"/>
  <c r="S295" i="1" s="1"/>
  <c r="T295" i="1" s="1"/>
  <c r="I295" i="1"/>
  <c r="J295" i="1" s="1"/>
  <c r="R287" i="1"/>
  <c r="S287" i="1" s="1"/>
  <c r="T287" i="1" s="1"/>
  <c r="I287" i="1"/>
  <c r="J287" i="1" s="1"/>
  <c r="R231" i="1"/>
  <c r="S231" i="1" s="1"/>
  <c r="T231" i="1" s="1"/>
  <c r="I231" i="1"/>
  <c r="J231" i="1" s="1"/>
  <c r="R199" i="1"/>
  <c r="S199" i="1" s="1"/>
  <c r="T199" i="1" s="1"/>
  <c r="I199" i="1"/>
  <c r="J199" i="1" s="1"/>
  <c r="R183" i="1"/>
  <c r="S183" i="1" s="1"/>
  <c r="T183" i="1" s="1"/>
  <c r="R167" i="1"/>
  <c r="S167" i="1" s="1"/>
  <c r="I167" i="1"/>
  <c r="J167" i="1" s="1"/>
  <c r="R135" i="1"/>
  <c r="S135" i="1" s="1"/>
  <c r="T135" i="1" s="1"/>
  <c r="I135" i="1"/>
  <c r="J135" i="1" s="1"/>
  <c r="R103" i="1"/>
  <c r="S103" i="1" s="1"/>
  <c r="T103" i="1" s="1"/>
  <c r="I103" i="1"/>
  <c r="J103" i="1" s="1"/>
  <c r="I306" i="1"/>
  <c r="J306" i="1" s="1"/>
  <c r="I223" i="1"/>
  <c r="J223" i="1" s="1"/>
  <c r="I122" i="1"/>
  <c r="J122" i="1" s="1"/>
  <c r="I95" i="1"/>
  <c r="J95" i="1" s="1"/>
  <c r="I76" i="1"/>
  <c r="J76" i="1" s="1"/>
  <c r="I58" i="1"/>
  <c r="J58" i="1" s="1"/>
  <c r="R18" i="1"/>
  <c r="S18" i="1" s="1"/>
  <c r="T18" i="1" s="1"/>
  <c r="I318" i="1"/>
  <c r="J318" i="1" s="1"/>
  <c r="R318" i="1"/>
  <c r="S318" i="1" s="1"/>
  <c r="R222" i="1"/>
  <c r="S222" i="1" s="1"/>
  <c r="T222" i="1" s="1"/>
  <c r="I222" i="1"/>
  <c r="J222" i="1" s="1"/>
  <c r="I190" i="1"/>
  <c r="J190" i="1" s="1"/>
  <c r="R190" i="1"/>
  <c r="S190" i="1" s="1"/>
  <c r="R158" i="1"/>
  <c r="S158" i="1" s="1"/>
  <c r="I158" i="1"/>
  <c r="J158" i="1" s="1"/>
  <c r="R38" i="1"/>
  <c r="S38" i="1" s="1"/>
  <c r="T38" i="1" s="1"/>
  <c r="I247" i="1"/>
  <c r="J247" i="1" s="1"/>
  <c r="I162" i="1"/>
  <c r="J162" i="1" s="1"/>
  <c r="R278" i="1"/>
  <c r="S278" i="1" s="1"/>
  <c r="T278" i="1" s="1"/>
  <c r="I278" i="1"/>
  <c r="J278" i="1" s="1"/>
  <c r="R238" i="1"/>
  <c r="S238" i="1" s="1"/>
  <c r="T238" i="1" s="1"/>
  <c r="I126" i="1"/>
  <c r="J126" i="1" s="1"/>
  <c r="R126" i="1"/>
  <c r="S126" i="1" s="1"/>
  <c r="R94" i="1"/>
  <c r="S94" i="1" s="1"/>
  <c r="I94" i="1"/>
  <c r="J94" i="1" s="1"/>
  <c r="R86" i="1"/>
  <c r="S86" i="1" s="1"/>
  <c r="T86" i="1" s="1"/>
  <c r="I86" i="1"/>
  <c r="J86" i="1" s="1"/>
  <c r="R22" i="1"/>
  <c r="S22" i="1" s="1"/>
  <c r="T22" i="1" s="1"/>
  <c r="I22" i="1"/>
  <c r="J22" i="1" s="1"/>
  <c r="R309" i="1"/>
  <c r="S309" i="1" s="1"/>
  <c r="T309" i="1" s="1"/>
  <c r="I309" i="1"/>
  <c r="J309" i="1" s="1"/>
  <c r="I285" i="1"/>
  <c r="J285" i="1" s="1"/>
  <c r="R277" i="1"/>
  <c r="S277" i="1" s="1"/>
  <c r="R269" i="1"/>
  <c r="S269" i="1" s="1"/>
  <c r="I269" i="1"/>
  <c r="J269" i="1" s="1"/>
  <c r="R253" i="1"/>
  <c r="S253" i="1" s="1"/>
  <c r="T253" i="1" s="1"/>
  <c r="R245" i="1"/>
  <c r="S245" i="1" s="1"/>
  <c r="T245" i="1" s="1"/>
  <c r="R213" i="1"/>
  <c r="S213" i="1" s="1"/>
  <c r="I213" i="1"/>
  <c r="J213" i="1" s="1"/>
  <c r="R205" i="1"/>
  <c r="S205" i="1" s="1"/>
  <c r="R181" i="1"/>
  <c r="S181" i="1" s="1"/>
  <c r="T181" i="1" s="1"/>
  <c r="I181" i="1"/>
  <c r="J181" i="1" s="1"/>
  <c r="R149" i="1"/>
  <c r="S149" i="1" s="1"/>
  <c r="I149" i="1"/>
  <c r="J149" i="1" s="1"/>
  <c r="R141" i="1"/>
  <c r="S141" i="1" s="1"/>
  <c r="R125" i="1"/>
  <c r="S125" i="1" s="1"/>
  <c r="T125" i="1" s="1"/>
  <c r="R117" i="1"/>
  <c r="S117" i="1" s="1"/>
  <c r="T117" i="1" s="1"/>
  <c r="I117" i="1"/>
  <c r="J117" i="1" s="1"/>
  <c r="R85" i="1"/>
  <c r="S85" i="1" s="1"/>
  <c r="R77" i="1"/>
  <c r="S77" i="1" s="1"/>
  <c r="I77" i="1"/>
  <c r="J77" i="1" s="1"/>
  <c r="R53" i="1"/>
  <c r="S53" i="1" s="1"/>
  <c r="T53" i="1" s="1"/>
  <c r="I29" i="1"/>
  <c r="J29" i="1" s="1"/>
  <c r="I13" i="1"/>
  <c r="J13" i="1" s="1"/>
  <c r="I245" i="1"/>
  <c r="J245" i="1" s="1"/>
  <c r="I218" i="1"/>
  <c r="J218" i="1" s="1"/>
  <c r="I191" i="1"/>
  <c r="J191" i="1" s="1"/>
  <c r="I141" i="1"/>
  <c r="J141" i="1" s="1"/>
  <c r="I71" i="1"/>
  <c r="J71" i="1" s="1"/>
  <c r="I53" i="1"/>
  <c r="J53" i="1" s="1"/>
  <c r="I16" i="1"/>
  <c r="J16" i="1" s="1"/>
  <c r="R250" i="1"/>
  <c r="S250" i="1" s="1"/>
  <c r="I250" i="1"/>
  <c r="J250" i="1" s="1"/>
  <c r="R194" i="1"/>
  <c r="S194" i="1" s="1"/>
  <c r="R90" i="1"/>
  <c r="S90" i="1" s="1"/>
  <c r="I90" i="1"/>
  <c r="J90" i="1" s="1"/>
  <c r="I84" i="1"/>
  <c r="J84" i="1" s="1"/>
  <c r="R68" i="1"/>
  <c r="S68" i="1" s="1"/>
  <c r="T68" i="1" s="1"/>
  <c r="I68" i="1"/>
  <c r="J68" i="1" s="1"/>
  <c r="R36" i="1"/>
  <c r="S36" i="1" s="1"/>
  <c r="T36" i="1" s="1"/>
  <c r="R315" i="1"/>
  <c r="S315" i="1" s="1"/>
  <c r="T315" i="1" s="1"/>
  <c r="I315" i="1"/>
  <c r="J315" i="1" s="1"/>
  <c r="R299" i="1"/>
  <c r="S299" i="1" s="1"/>
  <c r="T299" i="1" s="1"/>
  <c r="I299" i="1"/>
  <c r="J299" i="1" s="1"/>
  <c r="R291" i="1"/>
  <c r="S291" i="1" s="1"/>
  <c r="R275" i="1"/>
  <c r="S275" i="1" s="1"/>
  <c r="R267" i="1"/>
  <c r="S267" i="1" s="1"/>
  <c r="R259" i="1"/>
  <c r="S259" i="1" s="1"/>
  <c r="I259" i="1"/>
  <c r="J259" i="1" s="1"/>
  <c r="R251" i="1"/>
  <c r="S251" i="1" s="1"/>
  <c r="R227" i="1"/>
  <c r="S227" i="1" s="1"/>
  <c r="I219" i="1"/>
  <c r="J219" i="1" s="1"/>
  <c r="R203" i="1"/>
  <c r="S203" i="1" s="1"/>
  <c r="I203" i="1"/>
  <c r="J203" i="1" s="1"/>
  <c r="R195" i="1"/>
  <c r="S195" i="1" s="1"/>
  <c r="R187" i="1"/>
  <c r="S187" i="1" s="1"/>
  <c r="I187" i="1"/>
  <c r="J187" i="1" s="1"/>
  <c r="I171" i="1"/>
  <c r="J171" i="1" s="1"/>
  <c r="R163" i="1"/>
  <c r="S163" i="1" s="1"/>
  <c r="R131" i="1"/>
  <c r="S131" i="1" s="1"/>
  <c r="R123" i="1"/>
  <c r="S123" i="1" s="1"/>
  <c r="I123" i="1"/>
  <c r="J123" i="1" s="1"/>
  <c r="I263" i="1"/>
  <c r="J263" i="1" s="1"/>
  <c r="I211" i="1"/>
  <c r="J211" i="1" s="1"/>
  <c r="I186" i="1"/>
  <c r="J186" i="1" s="1"/>
  <c r="I159" i="1"/>
  <c r="J159" i="1" s="1"/>
  <c r="I30" i="1"/>
  <c r="J30" i="1" s="1"/>
  <c r="I12" i="1"/>
  <c r="J12" i="1" s="1"/>
  <c r="I31" i="1"/>
  <c r="J31" i="1" s="1"/>
  <c r="I308" i="1"/>
  <c r="J308" i="1" s="1"/>
  <c r="I300" i="1"/>
  <c r="J300" i="1" s="1"/>
  <c r="I268" i="1"/>
  <c r="J268" i="1" s="1"/>
  <c r="I260" i="1"/>
  <c r="J260" i="1" s="1"/>
  <c r="I244" i="1"/>
  <c r="J244" i="1" s="1"/>
  <c r="I236" i="1"/>
  <c r="J236" i="1" s="1"/>
  <c r="I220" i="1"/>
  <c r="J220" i="1" s="1"/>
  <c r="I204" i="1"/>
  <c r="J204" i="1" s="1"/>
  <c r="I196" i="1"/>
  <c r="J196" i="1" s="1"/>
  <c r="I180" i="1"/>
  <c r="J180" i="1" s="1"/>
  <c r="I172" i="1"/>
  <c r="J172" i="1" s="1"/>
  <c r="I140" i="1"/>
  <c r="J140" i="1" s="1"/>
  <c r="R21" i="1"/>
  <c r="S21" i="1" s="1"/>
  <c r="R13" i="1"/>
  <c r="S13" i="1" s="1"/>
  <c r="R107" i="1"/>
  <c r="S107" i="1" s="1"/>
  <c r="T107" i="1" s="1"/>
  <c r="R99" i="1"/>
  <c r="S99" i="1" s="1"/>
  <c r="T99" i="1" s="1"/>
  <c r="R67" i="1"/>
  <c r="S67" i="1" s="1"/>
  <c r="R59" i="1"/>
  <c r="S59" i="1" s="1"/>
  <c r="T59" i="1" s="1"/>
  <c r="R43" i="1"/>
  <c r="S43" i="1" s="1"/>
  <c r="T43" i="1" s="1"/>
  <c r="R35" i="1"/>
  <c r="S35" i="1" s="1"/>
  <c r="I312" i="1"/>
  <c r="J312" i="1" s="1"/>
  <c r="I304" i="1"/>
  <c r="J304" i="1" s="1"/>
  <c r="I296" i="1"/>
  <c r="J296" i="1" s="1"/>
  <c r="I288" i="1"/>
  <c r="J288" i="1" s="1"/>
  <c r="I272" i="1"/>
  <c r="J272" i="1" s="1"/>
  <c r="I256" i="1"/>
  <c r="J256" i="1" s="1"/>
  <c r="I248" i="1"/>
  <c r="J248" i="1" s="1"/>
  <c r="I240" i="1"/>
  <c r="J240" i="1" s="1"/>
  <c r="I232" i="1"/>
  <c r="J232" i="1" s="1"/>
  <c r="I224" i="1"/>
  <c r="J224" i="1" s="1"/>
  <c r="I208" i="1"/>
  <c r="J208" i="1" s="1"/>
  <c r="I192" i="1"/>
  <c r="J192" i="1" s="1"/>
  <c r="I184" i="1"/>
  <c r="J184" i="1" s="1"/>
  <c r="I176" i="1"/>
  <c r="J176" i="1" s="1"/>
  <c r="I168" i="1"/>
  <c r="J168" i="1" s="1"/>
  <c r="I160" i="1"/>
  <c r="J160" i="1" s="1"/>
  <c r="I136" i="1"/>
  <c r="J136" i="1" s="1"/>
  <c r="I15" i="1"/>
  <c r="J15" i="1" s="1"/>
  <c r="I128" i="1"/>
  <c r="J128" i="1" s="1"/>
  <c r="I120" i="1"/>
  <c r="J120" i="1" s="1"/>
  <c r="I104" i="1"/>
  <c r="J104" i="1" s="1"/>
  <c r="I96" i="1"/>
  <c r="J96" i="1" s="1"/>
  <c r="I88" i="1"/>
  <c r="J88" i="1" s="1"/>
  <c r="I132" i="1"/>
  <c r="J132" i="1" s="1"/>
  <c r="I108" i="1"/>
  <c r="J108" i="1" s="1"/>
  <c r="I291" i="1"/>
  <c r="J291" i="1" s="1"/>
  <c r="I305" i="1"/>
  <c r="J305" i="1" s="1"/>
  <c r="I297" i="1"/>
  <c r="J297" i="1" s="1"/>
  <c r="I273" i="1"/>
  <c r="J273" i="1" s="1"/>
  <c r="I257" i="1"/>
  <c r="J257" i="1" s="1"/>
  <c r="I241" i="1"/>
  <c r="J241" i="1" s="1"/>
  <c r="I233" i="1"/>
  <c r="J233" i="1" s="1"/>
  <c r="I209" i="1"/>
  <c r="J209" i="1" s="1"/>
  <c r="I193" i="1"/>
  <c r="J193" i="1" s="1"/>
  <c r="I185" i="1"/>
  <c r="J185" i="1" s="1"/>
  <c r="I177" i="1"/>
  <c r="J177" i="1" s="1"/>
  <c r="I169" i="1"/>
  <c r="J169" i="1" s="1"/>
  <c r="I145" i="1"/>
  <c r="J145" i="1" s="1"/>
  <c r="I129" i="1"/>
  <c r="J129" i="1" s="1"/>
  <c r="I113" i="1"/>
  <c r="J113" i="1" s="1"/>
  <c r="I105" i="1"/>
  <c r="J105" i="1" s="1"/>
  <c r="I81" i="1"/>
  <c r="J81" i="1" s="1"/>
  <c r="I65" i="1"/>
  <c r="J65" i="1" s="1"/>
  <c r="I57" i="1"/>
  <c r="J57" i="1" s="1"/>
  <c r="I49" i="1"/>
  <c r="J49" i="1" s="1"/>
  <c r="I41" i="1"/>
  <c r="J41" i="1" s="1"/>
  <c r="I17" i="1"/>
  <c r="J17" i="1" s="1"/>
  <c r="I73" i="1" l="1"/>
  <c r="J73" i="1" s="1"/>
  <c r="I265" i="1"/>
  <c r="J265" i="1" s="1"/>
  <c r="I319" i="1"/>
  <c r="J319" i="1" s="1"/>
  <c r="I156" i="1"/>
  <c r="J156" i="1" s="1"/>
  <c r="R146" i="1"/>
  <c r="S146" i="1" s="1"/>
  <c r="R82" i="1"/>
  <c r="S82" i="1" s="1"/>
  <c r="T285" i="1"/>
  <c r="T29" i="1"/>
  <c r="T148" i="1"/>
  <c r="L267" i="1"/>
  <c r="M267" i="1" s="1"/>
  <c r="L11" i="1"/>
  <c r="M11" i="1" s="1"/>
  <c r="T130" i="1"/>
  <c r="T144" i="1"/>
  <c r="T168" i="1"/>
  <c r="R301" i="1"/>
  <c r="S301" i="1" s="1"/>
  <c r="T301" i="1" s="1"/>
  <c r="I228" i="1"/>
  <c r="J228" i="1" s="1"/>
  <c r="L228" i="1" s="1"/>
  <c r="M228" i="1" s="1"/>
  <c r="I274" i="1"/>
  <c r="J274" i="1" s="1"/>
  <c r="I182" i="1"/>
  <c r="J182" i="1" s="1"/>
  <c r="I27" i="1"/>
  <c r="J27" i="1" s="1"/>
  <c r="R83" i="1"/>
  <c r="S83" i="1" s="1"/>
  <c r="T83" i="1" s="1"/>
  <c r="I164" i="1"/>
  <c r="J164" i="1" s="1"/>
  <c r="T123" i="1"/>
  <c r="I138" i="1"/>
  <c r="J138" i="1" s="1"/>
  <c r="T85" i="1"/>
  <c r="I302" i="1"/>
  <c r="J302" i="1" s="1"/>
  <c r="I110" i="1"/>
  <c r="J110" i="1" s="1"/>
  <c r="R246" i="1"/>
  <c r="S246" i="1" s="1"/>
  <c r="I311" i="1"/>
  <c r="J311" i="1" s="1"/>
  <c r="T233" i="1"/>
  <c r="T55" i="1"/>
  <c r="T204" i="1"/>
  <c r="R283" i="1"/>
  <c r="S283" i="1" s="1"/>
  <c r="T283" i="1" s="1"/>
  <c r="T120" i="1"/>
  <c r="R91" i="1"/>
  <c r="S91" i="1" s="1"/>
  <c r="T91" i="1" s="1"/>
  <c r="I101" i="1"/>
  <c r="J101" i="1" s="1"/>
  <c r="T213" i="1"/>
  <c r="I310" i="1"/>
  <c r="J310" i="1" s="1"/>
  <c r="I210" i="1"/>
  <c r="J210" i="1" s="1"/>
  <c r="R137" i="1"/>
  <c r="S137" i="1" s="1"/>
  <c r="T137" i="1" s="1"/>
  <c r="R74" i="1"/>
  <c r="S74" i="1" s="1"/>
  <c r="T74" i="1" s="1"/>
  <c r="I201" i="1"/>
  <c r="J201" i="1" s="1"/>
  <c r="R19" i="1"/>
  <c r="S19" i="1" s="1"/>
  <c r="T19" i="1" s="1"/>
  <c r="I48" i="1"/>
  <c r="J48" i="1" s="1"/>
  <c r="R147" i="1"/>
  <c r="S147" i="1" s="1"/>
  <c r="T147" i="1" s="1"/>
  <c r="I92" i="1"/>
  <c r="J92" i="1" s="1"/>
  <c r="R37" i="1"/>
  <c r="S37" i="1" s="1"/>
  <c r="I165" i="1"/>
  <c r="J165" i="1" s="1"/>
  <c r="L165" i="1" s="1"/>
  <c r="M165" i="1" s="1"/>
  <c r="I229" i="1"/>
  <c r="J229" i="1" s="1"/>
  <c r="L229" i="1" s="1"/>
  <c r="M229" i="1" s="1"/>
  <c r="I54" i="1"/>
  <c r="J54" i="1" s="1"/>
  <c r="I174" i="1"/>
  <c r="J174" i="1" s="1"/>
  <c r="T318" i="1"/>
  <c r="I255" i="1"/>
  <c r="J255" i="1" s="1"/>
  <c r="I40" i="1"/>
  <c r="J40" i="1" s="1"/>
  <c r="T151" i="1"/>
  <c r="T270" i="1"/>
  <c r="T206" i="1"/>
  <c r="T78" i="1"/>
  <c r="T14" i="1"/>
  <c r="T124" i="1"/>
  <c r="T243" i="1"/>
  <c r="I63" i="1"/>
  <c r="J63" i="1" s="1"/>
  <c r="I155" i="1"/>
  <c r="J155" i="1" s="1"/>
  <c r="T203" i="1"/>
  <c r="I45" i="1"/>
  <c r="J45" i="1" s="1"/>
  <c r="L45" i="1" s="1"/>
  <c r="M45" i="1" s="1"/>
  <c r="I293" i="1"/>
  <c r="J293" i="1" s="1"/>
  <c r="L125" i="1"/>
  <c r="M125" i="1" s="1"/>
  <c r="T61" i="1"/>
  <c r="T308" i="1"/>
  <c r="T180" i="1"/>
  <c r="T152" i="1"/>
  <c r="I280" i="1"/>
  <c r="J280" i="1" s="1"/>
  <c r="I284" i="1"/>
  <c r="J284" i="1" s="1"/>
  <c r="L284" i="1" s="1"/>
  <c r="M284" i="1" s="1"/>
  <c r="R109" i="1"/>
  <c r="S109" i="1" s="1"/>
  <c r="I127" i="1"/>
  <c r="J127" i="1" s="1"/>
  <c r="I100" i="1"/>
  <c r="J100" i="1" s="1"/>
  <c r="I292" i="1"/>
  <c r="J292" i="1" s="1"/>
  <c r="R173" i="1"/>
  <c r="S173" i="1" s="1"/>
  <c r="R237" i="1"/>
  <c r="S237" i="1" s="1"/>
  <c r="T237" i="1" s="1"/>
  <c r="I118" i="1"/>
  <c r="J118" i="1" s="1"/>
  <c r="L118" i="1" s="1"/>
  <c r="M118" i="1" s="1"/>
  <c r="T242" i="1"/>
  <c r="T300" i="1"/>
  <c r="I303" i="1"/>
  <c r="J303" i="1" s="1"/>
  <c r="T35" i="1"/>
  <c r="I75" i="1"/>
  <c r="J75" i="1" s="1"/>
  <c r="T155" i="1"/>
  <c r="T211" i="1"/>
  <c r="I20" i="1"/>
  <c r="J20" i="1" s="1"/>
  <c r="L20" i="1" s="1"/>
  <c r="M20" i="1" s="1"/>
  <c r="T173" i="1"/>
  <c r="T229" i="1"/>
  <c r="R142" i="1"/>
  <c r="S142" i="1" s="1"/>
  <c r="T142" i="1" s="1"/>
  <c r="T246" i="1"/>
  <c r="I119" i="1"/>
  <c r="J119" i="1" s="1"/>
  <c r="T65" i="1"/>
  <c r="T145" i="1"/>
  <c r="R70" i="1"/>
  <c r="S70" i="1" s="1"/>
  <c r="T70" i="1" s="1"/>
  <c r="T274" i="1"/>
  <c r="T140" i="1"/>
  <c r="T76" i="1"/>
  <c r="T264" i="1"/>
  <c r="T248" i="1"/>
  <c r="T256" i="1"/>
  <c r="T272" i="1"/>
  <c r="I121" i="1"/>
  <c r="J121" i="1" s="1"/>
  <c r="I144" i="1"/>
  <c r="J144" i="1" s="1"/>
  <c r="L144" i="1" s="1"/>
  <c r="M144" i="1" s="1"/>
  <c r="I47" i="1"/>
  <c r="J47" i="1" s="1"/>
  <c r="T163" i="1"/>
  <c r="T275" i="1"/>
  <c r="T77" i="1"/>
  <c r="T54" i="1"/>
  <c r="T72" i="1"/>
  <c r="I230" i="1"/>
  <c r="J230" i="1" s="1"/>
  <c r="L230" i="1" s="1"/>
  <c r="M230" i="1" s="1"/>
  <c r="T73" i="1"/>
  <c r="T169" i="1"/>
  <c r="R249" i="1"/>
  <c r="S249" i="1" s="1"/>
  <c r="I175" i="1"/>
  <c r="J175" i="1" s="1"/>
  <c r="I111" i="1"/>
  <c r="J111" i="1" s="1"/>
  <c r="T64" i="1"/>
  <c r="T95" i="1"/>
  <c r="T260" i="1"/>
  <c r="T132" i="1"/>
  <c r="T81" i="1"/>
  <c r="I294" i="1"/>
  <c r="J294" i="1" s="1"/>
  <c r="T197" i="1"/>
  <c r="T42" i="1"/>
  <c r="I276" i="1"/>
  <c r="J276" i="1" s="1"/>
  <c r="L276" i="1" s="1"/>
  <c r="M276" i="1" s="1"/>
  <c r="T227" i="1"/>
  <c r="T291" i="1"/>
  <c r="T158" i="1"/>
  <c r="T105" i="1"/>
  <c r="T271" i="1"/>
  <c r="T235" i="1"/>
  <c r="T171" i="1"/>
  <c r="T290" i="1"/>
  <c r="T226" i="1"/>
  <c r="T162" i="1"/>
  <c r="T98" i="1"/>
  <c r="T34" i="1"/>
  <c r="R93" i="1"/>
  <c r="S93" i="1" s="1"/>
  <c r="T93" i="1" s="1"/>
  <c r="I212" i="1"/>
  <c r="J212" i="1" s="1"/>
  <c r="I139" i="1"/>
  <c r="J139" i="1" s="1"/>
  <c r="L139" i="1" s="1"/>
  <c r="M139" i="1" s="1"/>
  <c r="T187" i="1"/>
  <c r="T251" i="1"/>
  <c r="T90" i="1"/>
  <c r="T37" i="1"/>
  <c r="T190" i="1"/>
  <c r="T178" i="1"/>
  <c r="T17" i="1"/>
  <c r="T193" i="1"/>
  <c r="T273" i="1"/>
  <c r="T114" i="1"/>
  <c r="T306" i="1"/>
  <c r="T154" i="1"/>
  <c r="T134" i="1"/>
  <c r="T198" i="1"/>
  <c r="T172" i="1"/>
  <c r="T108" i="1"/>
  <c r="T224" i="1"/>
  <c r="R11" i="1"/>
  <c r="S11" i="1" s="1"/>
  <c r="T11" i="1" s="1"/>
  <c r="I148" i="1"/>
  <c r="J148" i="1" s="1"/>
  <c r="L148" i="1" s="1"/>
  <c r="M148" i="1" s="1"/>
  <c r="I166" i="1"/>
  <c r="J166" i="1" s="1"/>
  <c r="R157" i="1"/>
  <c r="S157" i="1" s="1"/>
  <c r="T157" i="1" s="1"/>
  <c r="T94" i="1"/>
  <c r="T167" i="1"/>
  <c r="T210" i="1"/>
  <c r="T41" i="1"/>
  <c r="T201" i="1"/>
  <c r="T297" i="1"/>
  <c r="I32" i="1"/>
  <c r="J32" i="1" s="1"/>
  <c r="L32" i="1" s="1"/>
  <c r="M32" i="1" s="1"/>
  <c r="T32" i="1"/>
  <c r="T191" i="1"/>
  <c r="T182" i="1"/>
  <c r="T45" i="1"/>
  <c r="T109" i="1"/>
  <c r="R221" i="1"/>
  <c r="S221" i="1" s="1"/>
  <c r="T221" i="1" s="1"/>
  <c r="T282" i="1"/>
  <c r="I102" i="1"/>
  <c r="J102" i="1" s="1"/>
  <c r="L102" i="1" s="1"/>
  <c r="M102" i="1" s="1"/>
  <c r="T209" i="1"/>
  <c r="I239" i="1"/>
  <c r="J239" i="1" s="1"/>
  <c r="I64" i="1"/>
  <c r="J64" i="1" s="1"/>
  <c r="L64" i="1" s="1"/>
  <c r="M64" i="1" s="1"/>
  <c r="R64" i="1"/>
  <c r="S64" i="1" s="1"/>
  <c r="T250" i="1"/>
  <c r="R106" i="1"/>
  <c r="S106" i="1" s="1"/>
  <c r="T106" i="1" s="1"/>
  <c r="T13" i="1"/>
  <c r="I188" i="1"/>
  <c r="J188" i="1" s="1"/>
  <c r="I252" i="1"/>
  <c r="J252" i="1" s="1"/>
  <c r="I316" i="1"/>
  <c r="J316" i="1" s="1"/>
  <c r="T131" i="1"/>
  <c r="T259" i="1"/>
  <c r="R307" i="1"/>
  <c r="S307" i="1" s="1"/>
  <c r="T307" i="1" s="1"/>
  <c r="R262" i="1"/>
  <c r="S262" i="1" s="1"/>
  <c r="T262" i="1" s="1"/>
  <c r="R133" i="1"/>
  <c r="S133" i="1" s="1"/>
  <c r="T133" i="1" s="1"/>
  <c r="I206" i="1"/>
  <c r="J206" i="1" s="1"/>
  <c r="I42" i="1"/>
  <c r="J42" i="1" s="1"/>
  <c r="T66" i="1"/>
  <c r="I14" i="1"/>
  <c r="J14" i="1" s="1"/>
  <c r="T122" i="1"/>
  <c r="T254" i="1"/>
  <c r="T62" i="1"/>
  <c r="L99" i="1"/>
  <c r="M99" i="1" s="1"/>
  <c r="L35" i="1"/>
  <c r="M35" i="1" s="1"/>
  <c r="I243" i="1"/>
  <c r="J243" i="1" s="1"/>
  <c r="L243" i="1" s="1"/>
  <c r="M243" i="1" s="1"/>
  <c r="R51" i="1"/>
  <c r="S51" i="1" s="1"/>
  <c r="T51" i="1" s="1"/>
  <c r="R234" i="1"/>
  <c r="S234" i="1" s="1"/>
  <c r="T234" i="1" s="1"/>
  <c r="I200" i="1"/>
  <c r="J200" i="1" s="1"/>
  <c r="T67" i="1"/>
  <c r="T21" i="1"/>
  <c r="R179" i="1"/>
  <c r="S179" i="1" s="1"/>
  <c r="T179" i="1" s="1"/>
  <c r="T267" i="1"/>
  <c r="I98" i="1"/>
  <c r="J98" i="1" s="1"/>
  <c r="I270" i="1"/>
  <c r="J270" i="1" s="1"/>
  <c r="L270" i="1" s="1"/>
  <c r="M270" i="1" s="1"/>
  <c r="T141" i="1"/>
  <c r="T269" i="1"/>
  <c r="I226" i="1"/>
  <c r="J226" i="1" s="1"/>
  <c r="L226" i="1" s="1"/>
  <c r="M226" i="1" s="1"/>
  <c r="I198" i="1"/>
  <c r="J198" i="1" s="1"/>
  <c r="I60" i="1"/>
  <c r="J60" i="1" s="1"/>
  <c r="T24" i="1"/>
  <c r="R25" i="1"/>
  <c r="S25" i="1" s="1"/>
  <c r="T25" i="1" s="1"/>
  <c r="R89" i="1"/>
  <c r="S89" i="1" s="1"/>
  <c r="T89" i="1" s="1"/>
  <c r="R153" i="1"/>
  <c r="S153" i="1" s="1"/>
  <c r="T153" i="1" s="1"/>
  <c r="R217" i="1"/>
  <c r="S217" i="1" s="1"/>
  <c r="T217" i="1" s="1"/>
  <c r="R281" i="1"/>
  <c r="S281" i="1" s="1"/>
  <c r="T281" i="1" s="1"/>
  <c r="I207" i="1"/>
  <c r="J207" i="1" s="1"/>
  <c r="R298" i="1"/>
  <c r="S298" i="1" s="1"/>
  <c r="T298" i="1" s="1"/>
  <c r="L51" i="1"/>
  <c r="M51" i="1" s="1"/>
  <c r="I9" i="1"/>
  <c r="J9" i="1" s="1"/>
  <c r="L9" i="1" s="1"/>
  <c r="M9" i="1" s="1"/>
  <c r="T75" i="1"/>
  <c r="I290" i="1"/>
  <c r="J290" i="1" s="1"/>
  <c r="L290" i="1" s="1"/>
  <c r="M290" i="1" s="1"/>
  <c r="I61" i="1"/>
  <c r="J61" i="1" s="1"/>
  <c r="L61" i="1" s="1"/>
  <c r="M61" i="1" s="1"/>
  <c r="R189" i="1"/>
  <c r="S189" i="1" s="1"/>
  <c r="T189" i="1" s="1"/>
  <c r="T277" i="1"/>
  <c r="R317" i="1"/>
  <c r="S317" i="1" s="1"/>
  <c r="T317" i="1" s="1"/>
  <c r="I271" i="1"/>
  <c r="J271" i="1" s="1"/>
  <c r="I34" i="1"/>
  <c r="J34" i="1" s="1"/>
  <c r="L34" i="1" s="1"/>
  <c r="M34" i="1" s="1"/>
  <c r="I78" i="1"/>
  <c r="J78" i="1" s="1"/>
  <c r="L78" i="1" s="1"/>
  <c r="M78" i="1" s="1"/>
  <c r="R33" i="1"/>
  <c r="S33" i="1" s="1"/>
  <c r="T33" i="1" s="1"/>
  <c r="R97" i="1"/>
  <c r="S97" i="1" s="1"/>
  <c r="T97" i="1" s="1"/>
  <c r="R161" i="1"/>
  <c r="S161" i="1" s="1"/>
  <c r="T161" i="1" s="1"/>
  <c r="R225" i="1"/>
  <c r="S225" i="1" s="1"/>
  <c r="T225" i="1" s="1"/>
  <c r="R289" i="1"/>
  <c r="S289" i="1" s="1"/>
  <c r="T289" i="1" s="1"/>
  <c r="T314" i="1"/>
  <c r="T46" i="1"/>
  <c r="I28" i="1"/>
  <c r="I264" i="1"/>
  <c r="J264" i="1" s="1"/>
  <c r="L264" i="1" s="1"/>
  <c r="M264" i="1" s="1"/>
  <c r="T139" i="1"/>
  <c r="I152" i="1"/>
  <c r="J152" i="1" s="1"/>
  <c r="I216" i="1"/>
  <c r="J216" i="1" s="1"/>
  <c r="L216" i="1" s="1"/>
  <c r="M216" i="1" s="1"/>
  <c r="I235" i="1"/>
  <c r="J235" i="1" s="1"/>
  <c r="T149" i="1"/>
  <c r="I197" i="1"/>
  <c r="J197" i="1" s="1"/>
  <c r="L197" i="1" s="1"/>
  <c r="M197" i="1" s="1"/>
  <c r="T126" i="1"/>
  <c r="T40" i="1"/>
  <c r="T26" i="1"/>
  <c r="R170" i="1"/>
  <c r="S170" i="1" s="1"/>
  <c r="T170" i="1" s="1"/>
  <c r="L70" i="1"/>
  <c r="M70" i="1" s="1"/>
  <c r="T47" i="1"/>
  <c r="T230" i="1"/>
  <c r="T166" i="1"/>
  <c r="T102" i="1"/>
  <c r="I87" i="1"/>
  <c r="J87" i="1" s="1"/>
  <c r="L87" i="1" s="1"/>
  <c r="M87" i="1" s="1"/>
  <c r="I116" i="1"/>
  <c r="J116" i="1" s="1"/>
  <c r="L116" i="1" s="1"/>
  <c r="M116" i="1" s="1"/>
  <c r="I112" i="1"/>
  <c r="J112" i="1" s="1"/>
  <c r="T195" i="1"/>
  <c r="I52" i="1"/>
  <c r="J52" i="1" s="1"/>
  <c r="R69" i="1"/>
  <c r="S69" i="1" s="1"/>
  <c r="T69" i="1" s="1"/>
  <c r="T146" i="1"/>
  <c r="I79" i="1"/>
  <c r="J79" i="1" s="1"/>
  <c r="L79" i="1" s="1"/>
  <c r="M79" i="1" s="1"/>
  <c r="I151" i="1"/>
  <c r="J151" i="1" s="1"/>
  <c r="L151" i="1" s="1"/>
  <c r="M151" i="1" s="1"/>
  <c r="I215" i="1"/>
  <c r="J215" i="1" s="1"/>
  <c r="L215" i="1" s="1"/>
  <c r="M215" i="1" s="1"/>
  <c r="T49" i="1"/>
  <c r="T113" i="1"/>
  <c r="T177" i="1"/>
  <c r="T241" i="1"/>
  <c r="T305" i="1"/>
  <c r="I143" i="1"/>
  <c r="J143" i="1" s="1"/>
  <c r="L143" i="1" s="1"/>
  <c r="M143" i="1" s="1"/>
  <c r="T258" i="1"/>
  <c r="T186" i="1"/>
  <c r="T71" i="1"/>
  <c r="T30" i="1"/>
  <c r="R261" i="1"/>
  <c r="S261" i="1" s="1"/>
  <c r="T261" i="1" s="1"/>
  <c r="I23" i="1"/>
  <c r="J23" i="1" s="1"/>
  <c r="L23" i="1" s="1"/>
  <c r="M23" i="1" s="1"/>
  <c r="I124" i="1"/>
  <c r="J124" i="1" s="1"/>
  <c r="L124" i="1" s="1"/>
  <c r="M124" i="1" s="1"/>
  <c r="I134" i="1"/>
  <c r="J134" i="1" s="1"/>
  <c r="R115" i="1"/>
  <c r="S115" i="1" s="1"/>
  <c r="T115" i="1" s="1"/>
  <c r="T194" i="1"/>
  <c r="T205" i="1"/>
  <c r="T82" i="1"/>
  <c r="T266" i="1"/>
  <c r="T57" i="1"/>
  <c r="T121" i="1"/>
  <c r="T185" i="1"/>
  <c r="T249" i="1"/>
  <c r="T313" i="1"/>
  <c r="T58" i="1"/>
  <c r="T202" i="1"/>
  <c r="T118" i="1"/>
  <c r="T31" i="1"/>
  <c r="R214" i="1"/>
  <c r="S214" i="1" s="1"/>
  <c r="T214" i="1" s="1"/>
  <c r="I214" i="1"/>
  <c r="J214" i="1" s="1"/>
  <c r="L214" i="1" s="1"/>
  <c r="M214" i="1" s="1"/>
  <c r="T150" i="1"/>
  <c r="L59" i="1"/>
  <c r="M59" i="1" s="1"/>
  <c r="T88" i="1"/>
  <c r="T48" i="1"/>
  <c r="L249" i="1"/>
  <c r="M249" i="1" s="1"/>
  <c r="L304" i="1"/>
  <c r="M304" i="1" s="1"/>
  <c r="L172" i="1"/>
  <c r="M172" i="1" s="1"/>
  <c r="L159" i="1"/>
  <c r="M159" i="1" s="1"/>
  <c r="L299" i="1"/>
  <c r="M299" i="1" s="1"/>
  <c r="L84" i="1"/>
  <c r="M84" i="1" s="1"/>
  <c r="L247" i="1"/>
  <c r="M247" i="1" s="1"/>
  <c r="L76" i="1"/>
  <c r="M76" i="1" s="1"/>
  <c r="L103" i="1"/>
  <c r="M103" i="1" s="1"/>
  <c r="L167" i="1"/>
  <c r="M167" i="1" s="1"/>
  <c r="L231" i="1"/>
  <c r="M231" i="1" s="1"/>
  <c r="L295" i="1"/>
  <c r="M295" i="1" s="1"/>
  <c r="L72" i="1"/>
  <c r="M72" i="1" s="1"/>
  <c r="L282" i="1"/>
  <c r="M282" i="1" s="1"/>
  <c r="L279" i="1"/>
  <c r="M279" i="1" s="1"/>
  <c r="L130" i="1"/>
  <c r="M130" i="1" s="1"/>
  <c r="L26" i="1"/>
  <c r="M26" i="1" s="1"/>
  <c r="L258" i="1"/>
  <c r="M258" i="1" s="1"/>
  <c r="L205" i="1"/>
  <c r="M205" i="1" s="1"/>
  <c r="L67" i="1"/>
  <c r="M67" i="1" s="1"/>
  <c r="L65" i="1"/>
  <c r="M65" i="1" s="1"/>
  <c r="L129" i="1"/>
  <c r="M129" i="1" s="1"/>
  <c r="L193" i="1"/>
  <c r="M193" i="1" s="1"/>
  <c r="L257" i="1"/>
  <c r="M257" i="1" s="1"/>
  <c r="L303" i="1"/>
  <c r="M303" i="1" s="1"/>
  <c r="L15" i="1"/>
  <c r="M15" i="1" s="1"/>
  <c r="L184" i="1"/>
  <c r="M184" i="1" s="1"/>
  <c r="L248" i="1"/>
  <c r="M248" i="1" s="1"/>
  <c r="L312" i="1"/>
  <c r="M312" i="1" s="1"/>
  <c r="L47" i="1"/>
  <c r="M47" i="1" s="1"/>
  <c r="L180" i="1"/>
  <c r="M180" i="1" s="1"/>
  <c r="L244" i="1"/>
  <c r="M244" i="1" s="1"/>
  <c r="L308" i="1"/>
  <c r="M308" i="1" s="1"/>
  <c r="L186" i="1"/>
  <c r="M186" i="1" s="1"/>
  <c r="L171" i="1"/>
  <c r="M171" i="1" s="1"/>
  <c r="L259" i="1"/>
  <c r="M259" i="1" s="1"/>
  <c r="L68" i="1"/>
  <c r="M68" i="1" s="1"/>
  <c r="L218" i="1"/>
  <c r="M218" i="1" s="1"/>
  <c r="L133" i="1"/>
  <c r="M133" i="1" s="1"/>
  <c r="L86" i="1"/>
  <c r="M86" i="1" s="1"/>
  <c r="L174" i="1"/>
  <c r="M174" i="1" s="1"/>
  <c r="L162" i="1"/>
  <c r="M162" i="1" s="1"/>
  <c r="L274" i="1"/>
  <c r="M274" i="1" s="1"/>
  <c r="L190" i="1"/>
  <c r="M190" i="1" s="1"/>
  <c r="L318" i="1"/>
  <c r="M318" i="1" s="1"/>
  <c r="L95" i="1"/>
  <c r="M95" i="1" s="1"/>
  <c r="L310" i="1"/>
  <c r="M310" i="1" s="1"/>
  <c r="L44" i="1"/>
  <c r="M44" i="1" s="1"/>
  <c r="L314" i="1"/>
  <c r="M314" i="1" s="1"/>
  <c r="L66" i="1"/>
  <c r="M66" i="1" s="1"/>
  <c r="L91" i="1"/>
  <c r="M91" i="1" s="1"/>
  <c r="L185" i="1"/>
  <c r="M185" i="1" s="1"/>
  <c r="L240" i="1"/>
  <c r="M240" i="1" s="1"/>
  <c r="L236" i="1"/>
  <c r="M236" i="1" s="1"/>
  <c r="L201" i="1"/>
  <c r="M201" i="1" s="1"/>
  <c r="L319" i="1"/>
  <c r="M319" i="1" s="1"/>
  <c r="L256" i="1"/>
  <c r="M256" i="1" s="1"/>
  <c r="L27" i="1"/>
  <c r="M27" i="1" s="1"/>
  <c r="L188" i="1"/>
  <c r="M188" i="1" s="1"/>
  <c r="L252" i="1"/>
  <c r="M252" i="1" s="1"/>
  <c r="L316" i="1"/>
  <c r="M316" i="1" s="1"/>
  <c r="L92" i="1"/>
  <c r="M92" i="1" s="1"/>
  <c r="L245" i="1"/>
  <c r="M245" i="1" s="1"/>
  <c r="L181" i="1"/>
  <c r="M181" i="1" s="1"/>
  <c r="L269" i="1"/>
  <c r="M269" i="1" s="1"/>
  <c r="L309" i="1"/>
  <c r="M309" i="1" s="1"/>
  <c r="L38" i="1"/>
  <c r="M38" i="1" s="1"/>
  <c r="L206" i="1"/>
  <c r="M206" i="1" s="1"/>
  <c r="L106" i="1"/>
  <c r="M106" i="1" s="1"/>
  <c r="L122" i="1"/>
  <c r="M122" i="1" s="1"/>
  <c r="L119" i="1"/>
  <c r="M119" i="1" s="1"/>
  <c r="L183" i="1"/>
  <c r="M183" i="1" s="1"/>
  <c r="L255" i="1"/>
  <c r="M255" i="1" s="1"/>
  <c r="L311" i="1"/>
  <c r="M311" i="1" s="1"/>
  <c r="L10" i="1"/>
  <c r="M10" i="1" s="1"/>
  <c r="L42" i="1"/>
  <c r="M42" i="1" s="1"/>
  <c r="L24" i="1"/>
  <c r="M24" i="1" s="1"/>
  <c r="L210" i="1"/>
  <c r="M210" i="1" s="1"/>
  <c r="L62" i="1"/>
  <c r="M62" i="1" s="1"/>
  <c r="L14" i="1"/>
  <c r="M14" i="1" s="1"/>
  <c r="L195" i="1"/>
  <c r="M195" i="1" s="1"/>
  <c r="L55" i="1"/>
  <c r="M55" i="1" s="1"/>
  <c r="L132" i="1"/>
  <c r="M132" i="1" s="1"/>
  <c r="L300" i="1"/>
  <c r="M300" i="1" s="1"/>
  <c r="L73" i="1"/>
  <c r="M73" i="1" s="1"/>
  <c r="L291" i="1"/>
  <c r="M291" i="1" s="1"/>
  <c r="L211" i="1"/>
  <c r="M211" i="1" s="1"/>
  <c r="L17" i="1"/>
  <c r="M17" i="1" s="1"/>
  <c r="L209" i="1"/>
  <c r="M209" i="1" s="1"/>
  <c r="L307" i="1"/>
  <c r="M307" i="1" s="1"/>
  <c r="L200" i="1"/>
  <c r="M200" i="1" s="1"/>
  <c r="L260" i="1"/>
  <c r="M260" i="1" s="1"/>
  <c r="L263" i="1"/>
  <c r="M263" i="1" s="1"/>
  <c r="L315" i="1"/>
  <c r="M315" i="1" s="1"/>
  <c r="L98" i="1"/>
  <c r="M98" i="1" s="1"/>
  <c r="L16" i="1"/>
  <c r="M16" i="1" s="1"/>
  <c r="L101" i="1"/>
  <c r="M101" i="1" s="1"/>
  <c r="L94" i="1"/>
  <c r="M94" i="1" s="1"/>
  <c r="L238" i="1"/>
  <c r="M238" i="1" s="1"/>
  <c r="L18" i="1"/>
  <c r="M18" i="1" s="1"/>
  <c r="L198" i="1"/>
  <c r="M198" i="1" s="1"/>
  <c r="L234" i="1"/>
  <c r="M234" i="1" s="1"/>
  <c r="L60" i="1"/>
  <c r="M60" i="1" s="1"/>
  <c r="L80" i="1"/>
  <c r="M80" i="1" s="1"/>
  <c r="L114" i="1"/>
  <c r="M114" i="1" s="1"/>
  <c r="L39" i="1"/>
  <c r="M39" i="1" s="1"/>
  <c r="L227" i="1"/>
  <c r="M227" i="1" s="1"/>
  <c r="L207" i="1"/>
  <c r="M207" i="1" s="1"/>
  <c r="L57" i="1"/>
  <c r="M57" i="1" s="1"/>
  <c r="L128" i="1"/>
  <c r="M128" i="1" s="1"/>
  <c r="M123" i="1"/>
  <c r="L123" i="1"/>
  <c r="L137" i="1"/>
  <c r="M137" i="1" s="1"/>
  <c r="L43" i="1"/>
  <c r="M43" i="1" s="1"/>
  <c r="L81" i="1"/>
  <c r="M81" i="1" s="1"/>
  <c r="L273" i="1"/>
  <c r="M273" i="1" s="1"/>
  <c r="L88" i="1"/>
  <c r="M88" i="1" s="1"/>
  <c r="L63" i="1"/>
  <c r="M63" i="1" s="1"/>
  <c r="L196" i="1"/>
  <c r="M196" i="1" s="1"/>
  <c r="L31" i="1"/>
  <c r="M31" i="1" s="1"/>
  <c r="L25" i="1"/>
  <c r="M25" i="1" s="1"/>
  <c r="L89" i="1"/>
  <c r="M89" i="1" s="1"/>
  <c r="L153" i="1"/>
  <c r="M153" i="1" s="1"/>
  <c r="L217" i="1"/>
  <c r="M217" i="1" s="1"/>
  <c r="L281" i="1"/>
  <c r="M281" i="1" s="1"/>
  <c r="L100" i="1"/>
  <c r="M100" i="1" s="1"/>
  <c r="L96" i="1"/>
  <c r="M96" i="1" s="1"/>
  <c r="L208" i="1"/>
  <c r="M208" i="1" s="1"/>
  <c r="L272" i="1"/>
  <c r="M272" i="1" s="1"/>
  <c r="L140" i="1"/>
  <c r="M140" i="1" s="1"/>
  <c r="L204" i="1"/>
  <c r="M204" i="1" s="1"/>
  <c r="L268" i="1"/>
  <c r="M268" i="1" s="1"/>
  <c r="L12" i="1"/>
  <c r="M12" i="1" s="1"/>
  <c r="L187" i="1"/>
  <c r="M187" i="1" s="1"/>
  <c r="L275" i="1"/>
  <c r="M275" i="1" s="1"/>
  <c r="L90" i="1"/>
  <c r="M90" i="1" s="1"/>
  <c r="L53" i="1"/>
  <c r="M53" i="1" s="1"/>
  <c r="L298" i="1"/>
  <c r="M298" i="1" s="1"/>
  <c r="L149" i="1"/>
  <c r="M149" i="1" s="1"/>
  <c r="L110" i="1"/>
  <c r="M110" i="1" s="1"/>
  <c r="L222" i="1"/>
  <c r="M222" i="1" s="1"/>
  <c r="L223" i="1"/>
  <c r="M223" i="1" s="1"/>
  <c r="L135" i="1"/>
  <c r="M135" i="1" s="1"/>
  <c r="L199" i="1"/>
  <c r="M199" i="1" s="1"/>
  <c r="L271" i="1"/>
  <c r="M271" i="1" s="1"/>
  <c r="L40" i="1"/>
  <c r="M40" i="1" s="1"/>
  <c r="L50" i="1"/>
  <c r="M50" i="1" s="1"/>
  <c r="L242" i="1"/>
  <c r="M242" i="1" s="1"/>
  <c r="L175" i="1"/>
  <c r="M175" i="1" s="1"/>
  <c r="L111" i="1"/>
  <c r="M111" i="1" s="1"/>
  <c r="L121" i="1"/>
  <c r="M121" i="1" s="1"/>
  <c r="L213" i="1"/>
  <c r="M213" i="1" s="1"/>
  <c r="L265" i="1"/>
  <c r="M265" i="1" s="1"/>
  <c r="L192" i="1"/>
  <c r="M192" i="1" s="1"/>
  <c r="L219" i="1"/>
  <c r="M219" i="1" s="1"/>
  <c r="L145" i="1"/>
  <c r="M145" i="1" s="1"/>
  <c r="L136" i="1"/>
  <c r="M136" i="1" s="1"/>
  <c r="L33" i="1"/>
  <c r="M33" i="1" s="1"/>
  <c r="L97" i="1"/>
  <c r="M97" i="1" s="1"/>
  <c r="L161" i="1"/>
  <c r="M161" i="1" s="1"/>
  <c r="L225" i="1"/>
  <c r="M225" i="1" s="1"/>
  <c r="L289" i="1"/>
  <c r="M289" i="1" s="1"/>
  <c r="L108" i="1"/>
  <c r="M108" i="1" s="1"/>
  <c r="L104" i="1"/>
  <c r="M104" i="1" s="1"/>
  <c r="L152" i="1"/>
  <c r="M152" i="1" s="1"/>
  <c r="L280" i="1"/>
  <c r="M280" i="1" s="1"/>
  <c r="M212" i="1"/>
  <c r="L212" i="1"/>
  <c r="L30" i="1"/>
  <c r="M30" i="1" s="1"/>
  <c r="L75" i="1"/>
  <c r="M75" i="1" s="1"/>
  <c r="L235" i="1"/>
  <c r="M235" i="1" s="1"/>
  <c r="L138" i="1"/>
  <c r="M138" i="1" s="1"/>
  <c r="L71" i="1"/>
  <c r="M71" i="1" s="1"/>
  <c r="L13" i="1"/>
  <c r="M13" i="1" s="1"/>
  <c r="L285" i="1"/>
  <c r="M285" i="1" s="1"/>
  <c r="L22" i="1"/>
  <c r="M22" i="1" s="1"/>
  <c r="L278" i="1"/>
  <c r="M278" i="1" s="1"/>
  <c r="L74" i="1"/>
  <c r="M74" i="1" s="1"/>
  <c r="L146" i="1"/>
  <c r="M146" i="1" s="1"/>
  <c r="L306" i="1"/>
  <c r="M306" i="1" s="1"/>
  <c r="L150" i="1"/>
  <c r="M150" i="1" s="1"/>
  <c r="L127" i="1"/>
  <c r="M127" i="1" s="1"/>
  <c r="L46" i="1"/>
  <c r="M46" i="1" s="1"/>
  <c r="L294" i="1"/>
  <c r="M294" i="1" s="1"/>
  <c r="L176" i="1"/>
  <c r="M176" i="1" s="1"/>
  <c r="L191" i="1"/>
  <c r="M191" i="1" s="1"/>
  <c r="L41" i="1"/>
  <c r="M41" i="1" s="1"/>
  <c r="L105" i="1"/>
  <c r="M105" i="1" s="1"/>
  <c r="L169" i="1"/>
  <c r="M169" i="1" s="1"/>
  <c r="L233" i="1"/>
  <c r="M233" i="1" s="1"/>
  <c r="L297" i="1"/>
  <c r="M297" i="1" s="1"/>
  <c r="L112" i="1"/>
  <c r="M112" i="1" s="1"/>
  <c r="L160" i="1"/>
  <c r="M160" i="1" s="1"/>
  <c r="L224" i="1"/>
  <c r="M224" i="1" s="1"/>
  <c r="L288" i="1"/>
  <c r="M288" i="1" s="1"/>
  <c r="L156" i="1"/>
  <c r="M156" i="1" s="1"/>
  <c r="L220" i="1"/>
  <c r="M220" i="1" s="1"/>
  <c r="L48" i="1"/>
  <c r="M48" i="1" s="1"/>
  <c r="L107" i="1"/>
  <c r="M107" i="1" s="1"/>
  <c r="L155" i="1"/>
  <c r="M155" i="1" s="1"/>
  <c r="L52" i="1"/>
  <c r="M52" i="1" s="1"/>
  <c r="L194" i="1"/>
  <c r="M194" i="1" s="1"/>
  <c r="L141" i="1"/>
  <c r="M141" i="1" s="1"/>
  <c r="L29" i="1"/>
  <c r="M29" i="1" s="1"/>
  <c r="L117" i="1"/>
  <c r="M117" i="1" s="1"/>
  <c r="L126" i="1"/>
  <c r="M126" i="1" s="1"/>
  <c r="L158" i="1"/>
  <c r="M158" i="1" s="1"/>
  <c r="L287" i="1"/>
  <c r="M287" i="1" s="1"/>
  <c r="L56" i="1"/>
  <c r="M56" i="1" s="1"/>
  <c r="L178" i="1"/>
  <c r="M178" i="1" s="1"/>
  <c r="L202" i="1"/>
  <c r="M202" i="1" s="1"/>
  <c r="L82" i="1"/>
  <c r="M82" i="1" s="1"/>
  <c r="L266" i="1"/>
  <c r="M266" i="1" s="1"/>
  <c r="L154" i="1"/>
  <c r="M154" i="1" s="1"/>
  <c r="L182" i="1"/>
  <c r="M182" i="1" s="1"/>
  <c r="L313" i="1"/>
  <c r="M313" i="1" s="1"/>
  <c r="L250" i="1"/>
  <c r="M250" i="1" s="1"/>
  <c r="L49" i="1"/>
  <c r="M49" i="1" s="1"/>
  <c r="L113" i="1"/>
  <c r="M113" i="1" s="1"/>
  <c r="L177" i="1"/>
  <c r="M177" i="1" s="1"/>
  <c r="L241" i="1"/>
  <c r="M241" i="1" s="1"/>
  <c r="L305" i="1"/>
  <c r="M305" i="1" s="1"/>
  <c r="L120" i="1"/>
  <c r="M120" i="1" s="1"/>
  <c r="L168" i="1"/>
  <c r="M168" i="1" s="1"/>
  <c r="L232" i="1"/>
  <c r="M232" i="1" s="1"/>
  <c r="L296" i="1"/>
  <c r="M296" i="1" s="1"/>
  <c r="L164" i="1"/>
  <c r="M164" i="1" s="1"/>
  <c r="L292" i="1"/>
  <c r="M292" i="1" s="1"/>
  <c r="L134" i="1"/>
  <c r="M134" i="1" s="1"/>
  <c r="L203" i="1"/>
  <c r="M203" i="1" s="1"/>
  <c r="L36" i="1"/>
  <c r="M36" i="1" s="1"/>
  <c r="L166" i="1"/>
  <c r="M166" i="1" s="1"/>
  <c r="L77" i="1"/>
  <c r="M77" i="1" s="1"/>
  <c r="L253" i="1"/>
  <c r="M253" i="1" s="1"/>
  <c r="L293" i="1"/>
  <c r="M293" i="1" s="1"/>
  <c r="L54" i="1"/>
  <c r="M54" i="1" s="1"/>
  <c r="L142" i="1"/>
  <c r="M142" i="1" s="1"/>
  <c r="L302" i="1"/>
  <c r="M302" i="1" s="1"/>
  <c r="L170" i="1"/>
  <c r="M170" i="1" s="1"/>
  <c r="L246" i="1"/>
  <c r="M246" i="1" s="1"/>
  <c r="L58" i="1"/>
  <c r="M58" i="1" s="1"/>
  <c r="L254" i="1"/>
  <c r="M254" i="1" s="1"/>
  <c r="L239" i="1"/>
  <c r="M239" i="1" s="1"/>
  <c r="L286" i="1"/>
  <c r="M286" i="1" s="1"/>
  <c r="U119" i="1" l="1"/>
  <c r="U276" i="1"/>
  <c r="U128" i="1"/>
  <c r="U50" i="1"/>
  <c r="U196" i="1"/>
  <c r="U188" i="1"/>
  <c r="U180" i="1"/>
  <c r="U36" i="1"/>
  <c r="U300" i="1"/>
  <c r="U18" i="1"/>
  <c r="U208" i="1"/>
  <c r="U284" i="1"/>
  <c r="U19" i="1"/>
  <c r="U148" i="1"/>
  <c r="U233" i="1"/>
  <c r="U270" i="1"/>
  <c r="U124" i="1"/>
  <c r="U207" i="1"/>
  <c r="U68" i="1"/>
  <c r="U310" i="1"/>
  <c r="U220" i="1"/>
  <c r="U112" i="1"/>
  <c r="U43" i="1"/>
  <c r="U110" i="1"/>
  <c r="U240" i="1"/>
  <c r="U60" i="1"/>
  <c r="U152" i="1"/>
  <c r="U253" i="1"/>
  <c r="U219" i="1"/>
  <c r="U129" i="1"/>
  <c r="U192" i="1"/>
  <c r="U287" i="1"/>
  <c r="U144" i="1"/>
  <c r="U232" i="1"/>
  <c r="U265" i="1"/>
  <c r="U79" i="1"/>
  <c r="U120" i="1"/>
  <c r="U85" i="1"/>
  <c r="U292" i="1"/>
  <c r="U147" i="1"/>
  <c r="U252" i="1"/>
  <c r="U160" i="1"/>
  <c r="U295" i="1"/>
  <c r="U288" i="1"/>
  <c r="U159" i="1"/>
  <c r="U15" i="1"/>
  <c r="U238" i="1"/>
  <c r="U216" i="1"/>
  <c r="U245" i="1"/>
  <c r="U136" i="1"/>
  <c r="U92" i="1"/>
  <c r="U280" i="1"/>
  <c r="U20" i="1"/>
  <c r="U137" i="1"/>
  <c r="U296" i="1"/>
  <c r="U117" i="1"/>
  <c r="U12" i="1"/>
  <c r="U22" i="1"/>
  <c r="U212" i="1"/>
  <c r="U315" i="1"/>
  <c r="U279" i="1"/>
  <c r="U304" i="1"/>
  <c r="U16" i="1"/>
  <c r="U61" i="1"/>
  <c r="U283" i="1"/>
  <c r="U138" i="1"/>
  <c r="U213" i="1"/>
  <c r="U319" i="1"/>
  <c r="U164" i="1"/>
  <c r="U10" i="1"/>
  <c r="U223" i="1"/>
  <c r="U278" i="1"/>
  <c r="U130" i="1"/>
  <c r="U303" i="1"/>
  <c r="U183" i="1"/>
  <c r="U200" i="1"/>
  <c r="U123" i="1"/>
  <c r="U215" i="1"/>
  <c r="U316" i="1"/>
  <c r="U99" i="1"/>
  <c r="U80" i="1"/>
  <c r="U308" i="1"/>
  <c r="U293" i="1"/>
  <c r="U203" i="1"/>
  <c r="U83" i="1"/>
  <c r="U309" i="1"/>
  <c r="U100" i="1"/>
  <c r="U104" i="1"/>
  <c r="U184" i="1"/>
  <c r="U111" i="1"/>
  <c r="U176" i="1"/>
  <c r="U56" i="1"/>
  <c r="U168" i="1"/>
  <c r="U125" i="1"/>
  <c r="U151" i="1"/>
  <c r="U244" i="1"/>
  <c r="U318" i="1"/>
  <c r="U263" i="1"/>
  <c r="U53" i="1"/>
  <c r="U127" i="1"/>
  <c r="U247" i="1"/>
  <c r="U11" i="1"/>
  <c r="U9" i="1"/>
  <c r="U186" i="1"/>
  <c r="U97" i="1"/>
  <c r="U250" i="1"/>
  <c r="U94" i="1"/>
  <c r="U17" i="1"/>
  <c r="U162" i="1"/>
  <c r="U158" i="1"/>
  <c r="U260" i="1"/>
  <c r="U73" i="1"/>
  <c r="U274" i="1"/>
  <c r="U229" i="1"/>
  <c r="U35" i="1"/>
  <c r="U185" i="1"/>
  <c r="U258" i="1"/>
  <c r="U40" i="1"/>
  <c r="U33" i="1"/>
  <c r="U217" i="1"/>
  <c r="U269" i="1"/>
  <c r="U122" i="1"/>
  <c r="U259" i="1"/>
  <c r="U221" i="1"/>
  <c r="U191" i="1"/>
  <c r="U297" i="1"/>
  <c r="U198" i="1"/>
  <c r="U178" i="1"/>
  <c r="U226" i="1"/>
  <c r="U301" i="1"/>
  <c r="U95" i="1"/>
  <c r="U77" i="1"/>
  <c r="U264" i="1"/>
  <c r="U70" i="1"/>
  <c r="U173" i="1"/>
  <c r="U249" i="1"/>
  <c r="U254" i="1"/>
  <c r="U214" i="1"/>
  <c r="U121" i="1"/>
  <c r="U126" i="1"/>
  <c r="U75" i="1"/>
  <c r="U153" i="1"/>
  <c r="U141" i="1"/>
  <c r="U234" i="1"/>
  <c r="U131" i="1"/>
  <c r="U109" i="1"/>
  <c r="U201" i="1"/>
  <c r="U224" i="1"/>
  <c r="U134" i="1"/>
  <c r="U190" i="1"/>
  <c r="U290" i="1"/>
  <c r="U291" i="1"/>
  <c r="U197" i="1"/>
  <c r="U64" i="1"/>
  <c r="U72" i="1"/>
  <c r="U275" i="1"/>
  <c r="U145" i="1"/>
  <c r="U150" i="1"/>
  <c r="U26" i="1"/>
  <c r="U307" i="1"/>
  <c r="U31" i="1"/>
  <c r="U57" i="1"/>
  <c r="U305" i="1"/>
  <c r="U146" i="1"/>
  <c r="U166" i="1"/>
  <c r="U46" i="1"/>
  <c r="U89" i="1"/>
  <c r="U51" i="1"/>
  <c r="U66" i="1"/>
  <c r="U45" i="1"/>
  <c r="U41" i="1"/>
  <c r="U157" i="1"/>
  <c r="U154" i="1"/>
  <c r="U171" i="1"/>
  <c r="U227" i="1"/>
  <c r="U42" i="1"/>
  <c r="U74" i="1"/>
  <c r="U163" i="1"/>
  <c r="U76" i="1"/>
  <c r="U65" i="1"/>
  <c r="U139" i="1"/>
  <c r="U67" i="1"/>
  <c r="U102" i="1"/>
  <c r="U118" i="1"/>
  <c r="U266" i="1"/>
  <c r="U241" i="1"/>
  <c r="U69" i="1"/>
  <c r="U230" i="1"/>
  <c r="U149" i="1"/>
  <c r="U314" i="1"/>
  <c r="U25" i="1"/>
  <c r="U209" i="1"/>
  <c r="U210" i="1"/>
  <c r="U306" i="1"/>
  <c r="U37" i="1"/>
  <c r="U235" i="1"/>
  <c r="U272" i="1"/>
  <c r="U140" i="1"/>
  <c r="U211" i="1"/>
  <c r="U281" i="1"/>
  <c r="U48" i="1"/>
  <c r="U202" i="1"/>
  <c r="U82" i="1"/>
  <c r="U261" i="1"/>
  <c r="U177" i="1"/>
  <c r="U47" i="1"/>
  <c r="U289" i="1"/>
  <c r="U317" i="1"/>
  <c r="U24" i="1"/>
  <c r="U267" i="1"/>
  <c r="U182" i="1"/>
  <c r="U32" i="1"/>
  <c r="U108" i="1"/>
  <c r="U114" i="1"/>
  <c r="U90" i="1"/>
  <c r="U105" i="1"/>
  <c r="U256" i="1"/>
  <c r="U246" i="1"/>
  <c r="U155" i="1"/>
  <c r="U115" i="1"/>
  <c r="U58" i="1"/>
  <c r="U30" i="1"/>
  <c r="U195" i="1"/>
  <c r="U298" i="1"/>
  <c r="U179" i="1"/>
  <c r="U133" i="1"/>
  <c r="U13" i="1"/>
  <c r="U167" i="1"/>
  <c r="U172" i="1"/>
  <c r="U273" i="1"/>
  <c r="U251" i="1"/>
  <c r="U93" i="1"/>
  <c r="U34" i="1"/>
  <c r="U81" i="1"/>
  <c r="U132" i="1"/>
  <c r="U54" i="1"/>
  <c r="U248" i="1"/>
  <c r="U88" i="1"/>
  <c r="U205" i="1"/>
  <c r="U113" i="1"/>
  <c r="U225" i="1"/>
  <c r="U277" i="1"/>
  <c r="U313" i="1"/>
  <c r="U194" i="1"/>
  <c r="U71" i="1"/>
  <c r="U49" i="1"/>
  <c r="U170" i="1"/>
  <c r="U161" i="1"/>
  <c r="U189" i="1"/>
  <c r="U21" i="1"/>
  <c r="U62" i="1"/>
  <c r="U262" i="1"/>
  <c r="U106" i="1"/>
  <c r="U282" i="1"/>
  <c r="U193" i="1"/>
  <c r="U187" i="1"/>
  <c r="U98" i="1"/>
  <c r="U271" i="1"/>
  <c r="U169" i="1"/>
  <c r="U237" i="1"/>
  <c r="U142" i="1"/>
  <c r="J28" i="1"/>
  <c r="L28" i="1" s="1"/>
  <c r="M28" i="1" s="1"/>
  <c r="U28" i="1" s="1"/>
  <c r="U135" i="1" l="1"/>
  <c r="U294" i="1"/>
  <c r="U96" i="1"/>
  <c r="U243" i="1"/>
  <c r="U165" i="1"/>
  <c r="U52" i="1"/>
  <c r="U239" i="1"/>
  <c r="U59" i="1"/>
  <c r="U268" i="1"/>
  <c r="U63" i="1"/>
  <c r="U231" i="1"/>
  <c r="U286" i="1"/>
  <c r="U218" i="1"/>
  <c r="U27" i="1"/>
  <c r="U101" i="1"/>
  <c r="U78" i="1"/>
  <c r="U156" i="1"/>
  <c r="U143" i="1"/>
  <c r="U204" i="1"/>
  <c r="U116" i="1"/>
  <c r="U302" i="1"/>
  <c r="U39" i="1"/>
  <c r="U55" i="1"/>
  <c r="U107" i="1"/>
  <c r="U228" i="1"/>
  <c r="U23" i="1"/>
  <c r="U242" i="1"/>
  <c r="U44" i="1"/>
  <c r="U199" i="1"/>
  <c r="U91" i="1"/>
  <c r="U206" i="1"/>
  <c r="U103" i="1"/>
  <c r="U311" i="1"/>
  <c r="U38" i="1"/>
  <c r="U299" i="1"/>
  <c r="U87" i="1"/>
  <c r="U84" i="1"/>
  <c r="U236" i="1"/>
  <c r="U14" i="1"/>
  <c r="U285" i="1"/>
  <c r="U86" i="1"/>
  <c r="U175" i="1"/>
  <c r="U255" i="1"/>
  <c r="U257" i="1"/>
  <c r="U29" i="1"/>
  <c r="U181" i="1"/>
  <c r="U312" i="1"/>
  <c r="U222" i="1"/>
  <c r="U174" i="1"/>
</calcChain>
</file>

<file path=xl/sharedStrings.xml><?xml version="1.0" encoding="utf-8"?>
<sst xmlns="http://schemas.openxmlformats.org/spreadsheetml/2006/main" count="35" uniqueCount="29">
  <si>
    <t>nm</t>
  </si>
  <si>
    <t>A_LNSW</t>
  </si>
  <si>
    <t>T</t>
  </si>
  <si>
    <t>S</t>
  </si>
  <si>
    <t>ASW</t>
  </si>
  <si>
    <t>NO3</t>
  </si>
  <si>
    <t>ESW</t>
  </si>
  <si>
    <t>LNSW</t>
  </si>
  <si>
    <t>STD</t>
  </si>
  <si>
    <t>Blank</t>
  </si>
  <si>
    <t>ESW(Tcal)</t>
  </si>
  <si>
    <t>ESW(Tstd)</t>
  </si>
  <si>
    <t>ASW(Tstd)</t>
  </si>
  <si>
    <t>ASW(Tcal)</t>
  </si>
  <si>
    <t>ASE(Tstd)</t>
  </si>
  <si>
    <t>A'</t>
  </si>
  <si>
    <t>A'(STD)</t>
  </si>
  <si>
    <t>A_STD</t>
  </si>
  <si>
    <t>ENO3</t>
  </si>
  <si>
    <t>A_tank</t>
  </si>
  <si>
    <t>ASE</t>
  </si>
  <si>
    <t>e</t>
  </si>
  <si>
    <t>f</t>
  </si>
  <si>
    <t>[NO3]</t>
  </si>
  <si>
    <t>ASM(LSNW)</t>
  </si>
  <si>
    <t>ASM(STD)</t>
  </si>
  <si>
    <t>ASM(tank)</t>
  </si>
  <si>
    <t>umol/L</t>
  </si>
  <si>
    <t>Resid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</si>
</sst>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right"/>
    </xf>
    <xf numFmtId="2" fontId="0" fillId="33" borderId="0" xfId="0" applyNumberFormat="1" applyFont="1" applyFill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LNSW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098265377363579"/>
          <c:y val="0.13506500136128505"/>
          <c:w val="0.76768397407968225"/>
          <c:h val="0.81541116480624376"/>
        </c:manualLayout>
      </c:layout>
      <c:scatterChart>
        <c:scatterStyle val="lineMarker"/>
        <c:varyColors val="0"/>
        <c:ser>
          <c:idx val="0"/>
          <c:order val="0"/>
          <c:tx>
            <c:v>Abs meas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blank!$C$9:$C$319</c:f>
              <c:numCache>
                <c:formatCode>General</c:formatCode>
                <c:ptCount val="311"/>
                <c:pt idx="0">
                  <c:v>2.0592999999999999</c:v>
                </c:pt>
                <c:pt idx="1">
                  <c:v>2.1674000000000002</c:v>
                </c:pt>
                <c:pt idx="2">
                  <c:v>2.3254000000000001</c:v>
                </c:pt>
                <c:pt idx="3">
                  <c:v>2.4540000000000002</c:v>
                </c:pt>
                <c:pt idx="4">
                  <c:v>2.5222000000000002</c:v>
                </c:pt>
                <c:pt idx="5">
                  <c:v>2.5377999999999998</c:v>
                </c:pt>
                <c:pt idx="6">
                  <c:v>2.5855999999999999</c:v>
                </c:pt>
                <c:pt idx="7">
                  <c:v>2.6436999999999999</c:v>
                </c:pt>
                <c:pt idx="8">
                  <c:v>2.6758000000000002</c:v>
                </c:pt>
                <c:pt idx="9">
                  <c:v>2.6524999999999999</c:v>
                </c:pt>
                <c:pt idx="10">
                  <c:v>2.5842999999999998</c:v>
                </c:pt>
                <c:pt idx="11">
                  <c:v>2.5693000000000001</c:v>
                </c:pt>
                <c:pt idx="12">
                  <c:v>2.6042000000000001</c:v>
                </c:pt>
                <c:pt idx="13">
                  <c:v>2.6274000000000002</c:v>
                </c:pt>
                <c:pt idx="14">
                  <c:v>2.6326999999999998</c:v>
                </c:pt>
                <c:pt idx="15">
                  <c:v>2.6288</c:v>
                </c:pt>
                <c:pt idx="16">
                  <c:v>2.5983000000000001</c:v>
                </c:pt>
                <c:pt idx="17">
                  <c:v>2.4944999999999999</c:v>
                </c:pt>
                <c:pt idx="18">
                  <c:v>2.2469999999999999</c:v>
                </c:pt>
                <c:pt idx="19">
                  <c:v>1.9491000000000001</c:v>
                </c:pt>
                <c:pt idx="20">
                  <c:v>1.6246</c:v>
                </c:pt>
                <c:pt idx="21">
                  <c:v>1.2865</c:v>
                </c:pt>
                <c:pt idx="22">
                  <c:v>1.0223</c:v>
                </c:pt>
                <c:pt idx="23">
                  <c:v>0.76980000000000004</c:v>
                </c:pt>
                <c:pt idx="24">
                  <c:v>0.58360000000000001</c:v>
                </c:pt>
                <c:pt idx="25">
                  <c:v>0.4375</c:v>
                </c:pt>
                <c:pt idx="26">
                  <c:v>0.33119999999999999</c:v>
                </c:pt>
                <c:pt idx="27">
                  <c:v>0.2482</c:v>
                </c:pt>
                <c:pt idx="28">
                  <c:v>0.18410000000000001</c:v>
                </c:pt>
                <c:pt idx="29">
                  <c:v>0.1353</c:v>
                </c:pt>
                <c:pt idx="30">
                  <c:v>0.10150000000000001</c:v>
                </c:pt>
                <c:pt idx="31">
                  <c:v>7.6100000000000001E-2</c:v>
                </c:pt>
                <c:pt idx="32">
                  <c:v>5.8200000000000002E-2</c:v>
                </c:pt>
                <c:pt idx="33">
                  <c:v>4.58E-2</c:v>
                </c:pt>
                <c:pt idx="34">
                  <c:v>3.5200000000000002E-2</c:v>
                </c:pt>
                <c:pt idx="35">
                  <c:v>2.76E-2</c:v>
                </c:pt>
                <c:pt idx="36">
                  <c:v>2.2700000000000001E-2</c:v>
                </c:pt>
                <c:pt idx="37">
                  <c:v>1.9E-2</c:v>
                </c:pt>
                <c:pt idx="38">
                  <c:v>1.6199999999999999E-2</c:v>
                </c:pt>
                <c:pt idx="39">
                  <c:v>1.4500000000000001E-2</c:v>
                </c:pt>
                <c:pt idx="40">
                  <c:v>1.3299999999999999E-2</c:v>
                </c:pt>
                <c:pt idx="41">
                  <c:v>1.2E-2</c:v>
                </c:pt>
                <c:pt idx="42">
                  <c:v>1.11E-2</c:v>
                </c:pt>
                <c:pt idx="43">
                  <c:v>1.03E-2</c:v>
                </c:pt>
                <c:pt idx="44">
                  <c:v>9.7000000000000003E-3</c:v>
                </c:pt>
                <c:pt idx="45">
                  <c:v>9.1000000000000004E-3</c:v>
                </c:pt>
                <c:pt idx="46">
                  <c:v>8.6999999999999994E-3</c:v>
                </c:pt>
                <c:pt idx="47">
                  <c:v>8.3000000000000001E-3</c:v>
                </c:pt>
                <c:pt idx="48">
                  <c:v>7.7999999999999996E-3</c:v>
                </c:pt>
                <c:pt idx="49">
                  <c:v>7.4000000000000003E-3</c:v>
                </c:pt>
                <c:pt idx="50">
                  <c:v>7.1999999999999998E-3</c:v>
                </c:pt>
                <c:pt idx="51">
                  <c:v>7.0000000000000001E-3</c:v>
                </c:pt>
                <c:pt idx="52">
                  <c:v>6.4999999999999997E-3</c:v>
                </c:pt>
                <c:pt idx="53">
                  <c:v>6.4000000000000003E-3</c:v>
                </c:pt>
                <c:pt idx="54">
                  <c:v>6.1999999999999998E-3</c:v>
                </c:pt>
                <c:pt idx="55">
                  <c:v>5.7999999999999996E-3</c:v>
                </c:pt>
                <c:pt idx="56">
                  <c:v>5.5999999999999999E-3</c:v>
                </c:pt>
                <c:pt idx="57">
                  <c:v>5.4999999999999997E-3</c:v>
                </c:pt>
                <c:pt idx="58">
                  <c:v>5.4000000000000003E-3</c:v>
                </c:pt>
                <c:pt idx="59">
                  <c:v>5.3E-3</c:v>
                </c:pt>
                <c:pt idx="60">
                  <c:v>5.1000000000000004E-3</c:v>
                </c:pt>
                <c:pt idx="61">
                  <c:v>4.5999999999999999E-3</c:v>
                </c:pt>
                <c:pt idx="62">
                  <c:v>4.5999999999999999E-3</c:v>
                </c:pt>
                <c:pt idx="63">
                  <c:v>4.4999999999999997E-3</c:v>
                </c:pt>
                <c:pt idx="64">
                  <c:v>4.5999999999999999E-3</c:v>
                </c:pt>
                <c:pt idx="65">
                  <c:v>4.4000000000000003E-3</c:v>
                </c:pt>
                <c:pt idx="66">
                  <c:v>4.0000000000000001E-3</c:v>
                </c:pt>
                <c:pt idx="67">
                  <c:v>3.8999999999999998E-3</c:v>
                </c:pt>
                <c:pt idx="68">
                  <c:v>3.8E-3</c:v>
                </c:pt>
                <c:pt idx="69">
                  <c:v>3.7000000000000002E-3</c:v>
                </c:pt>
                <c:pt idx="70">
                  <c:v>3.8E-3</c:v>
                </c:pt>
                <c:pt idx="71">
                  <c:v>3.5999999999999999E-3</c:v>
                </c:pt>
                <c:pt idx="72">
                  <c:v>3.5999999999999999E-3</c:v>
                </c:pt>
                <c:pt idx="73">
                  <c:v>3.5000000000000001E-3</c:v>
                </c:pt>
                <c:pt idx="74">
                  <c:v>3.5999999999999999E-3</c:v>
                </c:pt>
                <c:pt idx="75">
                  <c:v>3.3999999999999998E-3</c:v>
                </c:pt>
                <c:pt idx="76">
                  <c:v>3.2000000000000002E-3</c:v>
                </c:pt>
                <c:pt idx="77">
                  <c:v>3.3E-3</c:v>
                </c:pt>
                <c:pt idx="78">
                  <c:v>3.3999999999999998E-3</c:v>
                </c:pt>
                <c:pt idx="79">
                  <c:v>3.0999999999999999E-3</c:v>
                </c:pt>
                <c:pt idx="80">
                  <c:v>3.2000000000000002E-3</c:v>
                </c:pt>
                <c:pt idx="81">
                  <c:v>2.8999999999999998E-3</c:v>
                </c:pt>
                <c:pt idx="82">
                  <c:v>3.3E-3</c:v>
                </c:pt>
                <c:pt idx="83">
                  <c:v>3.0999999999999999E-3</c:v>
                </c:pt>
                <c:pt idx="84">
                  <c:v>3.2000000000000002E-3</c:v>
                </c:pt>
                <c:pt idx="85">
                  <c:v>3.0999999999999999E-3</c:v>
                </c:pt>
                <c:pt idx="86">
                  <c:v>2.8E-3</c:v>
                </c:pt>
                <c:pt idx="87">
                  <c:v>2.8999999999999998E-3</c:v>
                </c:pt>
                <c:pt idx="88">
                  <c:v>2.8E-3</c:v>
                </c:pt>
                <c:pt idx="89">
                  <c:v>3.5000000000000001E-3</c:v>
                </c:pt>
                <c:pt idx="90">
                  <c:v>3.0000000000000001E-3</c:v>
                </c:pt>
                <c:pt idx="91">
                  <c:v>3.0999999999999999E-3</c:v>
                </c:pt>
                <c:pt idx="92">
                  <c:v>2.8999999999999998E-3</c:v>
                </c:pt>
                <c:pt idx="93">
                  <c:v>2.8999999999999998E-3</c:v>
                </c:pt>
                <c:pt idx="94">
                  <c:v>3.3E-3</c:v>
                </c:pt>
                <c:pt idx="95">
                  <c:v>2.8E-3</c:v>
                </c:pt>
                <c:pt idx="96">
                  <c:v>3.0999999999999999E-3</c:v>
                </c:pt>
                <c:pt idx="97">
                  <c:v>2.8999999999999998E-3</c:v>
                </c:pt>
                <c:pt idx="98">
                  <c:v>3.2000000000000002E-3</c:v>
                </c:pt>
                <c:pt idx="99">
                  <c:v>3.0999999999999999E-3</c:v>
                </c:pt>
                <c:pt idx="100">
                  <c:v>3.0999999999999999E-3</c:v>
                </c:pt>
                <c:pt idx="101">
                  <c:v>3.0999999999999999E-3</c:v>
                </c:pt>
                <c:pt idx="102">
                  <c:v>2.8999999999999998E-3</c:v>
                </c:pt>
                <c:pt idx="103">
                  <c:v>3.0999999999999999E-3</c:v>
                </c:pt>
                <c:pt idx="104">
                  <c:v>2.7000000000000001E-3</c:v>
                </c:pt>
                <c:pt idx="105">
                  <c:v>2.5999999999999999E-3</c:v>
                </c:pt>
                <c:pt idx="106">
                  <c:v>2.5999999999999999E-3</c:v>
                </c:pt>
                <c:pt idx="107">
                  <c:v>2.5999999999999999E-3</c:v>
                </c:pt>
                <c:pt idx="108">
                  <c:v>2.5999999999999999E-3</c:v>
                </c:pt>
                <c:pt idx="109">
                  <c:v>2.5999999999999999E-3</c:v>
                </c:pt>
                <c:pt idx="110">
                  <c:v>2.3999999999999998E-3</c:v>
                </c:pt>
                <c:pt idx="111">
                  <c:v>2.3E-3</c:v>
                </c:pt>
                <c:pt idx="112">
                  <c:v>2.2000000000000001E-3</c:v>
                </c:pt>
                <c:pt idx="113">
                  <c:v>2.2000000000000001E-3</c:v>
                </c:pt>
                <c:pt idx="114">
                  <c:v>1.9E-3</c:v>
                </c:pt>
                <c:pt idx="115">
                  <c:v>1.8E-3</c:v>
                </c:pt>
                <c:pt idx="116">
                  <c:v>2E-3</c:v>
                </c:pt>
                <c:pt idx="117">
                  <c:v>1.8E-3</c:v>
                </c:pt>
                <c:pt idx="118">
                  <c:v>1.8E-3</c:v>
                </c:pt>
                <c:pt idx="119">
                  <c:v>1.6000000000000001E-3</c:v>
                </c:pt>
                <c:pt idx="120">
                  <c:v>1.4E-3</c:v>
                </c:pt>
                <c:pt idx="121">
                  <c:v>1.4E-3</c:v>
                </c:pt>
                <c:pt idx="122">
                  <c:v>1.1000000000000001E-3</c:v>
                </c:pt>
                <c:pt idx="123">
                  <c:v>1.1000000000000001E-3</c:v>
                </c:pt>
                <c:pt idx="124">
                  <c:v>6.9999999999999999E-4</c:v>
                </c:pt>
                <c:pt idx="125">
                  <c:v>8.0000000000000004E-4</c:v>
                </c:pt>
                <c:pt idx="126">
                  <c:v>1E-3</c:v>
                </c:pt>
                <c:pt idx="127">
                  <c:v>8.9999999999999998E-4</c:v>
                </c:pt>
                <c:pt idx="128">
                  <c:v>8.0000000000000004E-4</c:v>
                </c:pt>
                <c:pt idx="129">
                  <c:v>8.9999999999999998E-4</c:v>
                </c:pt>
                <c:pt idx="130">
                  <c:v>6.9999999999999999E-4</c:v>
                </c:pt>
                <c:pt idx="131">
                  <c:v>1.1000000000000001E-3</c:v>
                </c:pt>
                <c:pt idx="132">
                  <c:v>8.9999999999999998E-4</c:v>
                </c:pt>
                <c:pt idx="133">
                  <c:v>8.9999999999999998E-4</c:v>
                </c:pt>
                <c:pt idx="134">
                  <c:v>2.9999999999999997E-4</c:v>
                </c:pt>
                <c:pt idx="135">
                  <c:v>5.9999999999999995E-4</c:v>
                </c:pt>
                <c:pt idx="136">
                  <c:v>2.9999999999999997E-4</c:v>
                </c:pt>
                <c:pt idx="137">
                  <c:v>4.0000000000000002E-4</c:v>
                </c:pt>
                <c:pt idx="138">
                  <c:v>5.0000000000000001E-4</c:v>
                </c:pt>
                <c:pt idx="139">
                  <c:v>4.0000000000000002E-4</c:v>
                </c:pt>
                <c:pt idx="140">
                  <c:v>4.0000000000000002E-4</c:v>
                </c:pt>
                <c:pt idx="141">
                  <c:v>2.9999999999999997E-4</c:v>
                </c:pt>
                <c:pt idx="142">
                  <c:v>5.0000000000000001E-4</c:v>
                </c:pt>
                <c:pt idx="143">
                  <c:v>2.9999999999999997E-4</c:v>
                </c:pt>
                <c:pt idx="144">
                  <c:v>5.0000000000000001E-4</c:v>
                </c:pt>
                <c:pt idx="145">
                  <c:v>2.9999999999999997E-4</c:v>
                </c:pt>
                <c:pt idx="146">
                  <c:v>4.0000000000000002E-4</c:v>
                </c:pt>
                <c:pt idx="147">
                  <c:v>1E-4</c:v>
                </c:pt>
                <c:pt idx="148">
                  <c:v>2.0000000000000001E-4</c:v>
                </c:pt>
                <c:pt idx="149">
                  <c:v>-1E-4</c:v>
                </c:pt>
                <c:pt idx="150">
                  <c:v>2.0000000000000001E-4</c:v>
                </c:pt>
                <c:pt idx="151">
                  <c:v>2.9999999999999997E-4</c:v>
                </c:pt>
                <c:pt idx="152">
                  <c:v>2.0000000000000001E-4</c:v>
                </c:pt>
                <c:pt idx="153">
                  <c:v>-1E-4</c:v>
                </c:pt>
                <c:pt idx="154">
                  <c:v>0</c:v>
                </c:pt>
                <c:pt idx="155">
                  <c:v>0</c:v>
                </c:pt>
                <c:pt idx="156">
                  <c:v>2.0000000000000001E-4</c:v>
                </c:pt>
                <c:pt idx="157">
                  <c:v>1E-4</c:v>
                </c:pt>
                <c:pt idx="158">
                  <c:v>0</c:v>
                </c:pt>
                <c:pt idx="159">
                  <c:v>-1E-4</c:v>
                </c:pt>
                <c:pt idx="160">
                  <c:v>2.0000000000000001E-4</c:v>
                </c:pt>
                <c:pt idx="161">
                  <c:v>1E-4</c:v>
                </c:pt>
                <c:pt idx="162">
                  <c:v>2.9999999999999997E-4</c:v>
                </c:pt>
                <c:pt idx="163">
                  <c:v>2.9999999999999997E-4</c:v>
                </c:pt>
                <c:pt idx="164">
                  <c:v>1E-4</c:v>
                </c:pt>
                <c:pt idx="165">
                  <c:v>5.0000000000000001E-4</c:v>
                </c:pt>
                <c:pt idx="166">
                  <c:v>1E-4</c:v>
                </c:pt>
                <c:pt idx="167">
                  <c:v>2.9999999999999997E-4</c:v>
                </c:pt>
                <c:pt idx="168">
                  <c:v>-2.0000000000000001E-4</c:v>
                </c:pt>
                <c:pt idx="169">
                  <c:v>1E-4</c:v>
                </c:pt>
                <c:pt idx="170">
                  <c:v>2.0000000000000001E-4</c:v>
                </c:pt>
                <c:pt idx="171">
                  <c:v>1E-4</c:v>
                </c:pt>
                <c:pt idx="172">
                  <c:v>-2.0000000000000001E-4</c:v>
                </c:pt>
                <c:pt idx="173">
                  <c:v>1E-4</c:v>
                </c:pt>
                <c:pt idx="174">
                  <c:v>0</c:v>
                </c:pt>
                <c:pt idx="175">
                  <c:v>2.0000000000000001E-4</c:v>
                </c:pt>
                <c:pt idx="176">
                  <c:v>-2.9999999999999997E-4</c:v>
                </c:pt>
                <c:pt idx="177">
                  <c:v>-1E-4</c:v>
                </c:pt>
                <c:pt idx="178">
                  <c:v>-2.0000000000000001E-4</c:v>
                </c:pt>
                <c:pt idx="179">
                  <c:v>0</c:v>
                </c:pt>
                <c:pt idx="180">
                  <c:v>5.0000000000000001E-4</c:v>
                </c:pt>
                <c:pt idx="181">
                  <c:v>-2.0000000000000001E-4</c:v>
                </c:pt>
                <c:pt idx="182">
                  <c:v>-4.0000000000000002E-4</c:v>
                </c:pt>
                <c:pt idx="183">
                  <c:v>-2.9999999999999997E-4</c:v>
                </c:pt>
                <c:pt idx="184">
                  <c:v>1E-4</c:v>
                </c:pt>
                <c:pt idx="185">
                  <c:v>0</c:v>
                </c:pt>
                <c:pt idx="186">
                  <c:v>-5.0000000000000001E-4</c:v>
                </c:pt>
                <c:pt idx="187">
                  <c:v>-1E-4</c:v>
                </c:pt>
                <c:pt idx="188">
                  <c:v>4.0000000000000002E-4</c:v>
                </c:pt>
                <c:pt idx="189">
                  <c:v>0</c:v>
                </c:pt>
                <c:pt idx="190">
                  <c:v>-2.0000000000000001E-4</c:v>
                </c:pt>
                <c:pt idx="191">
                  <c:v>-2.9999999999999997E-4</c:v>
                </c:pt>
                <c:pt idx="192">
                  <c:v>-2.0000000000000001E-4</c:v>
                </c:pt>
                <c:pt idx="193">
                  <c:v>-1E-4</c:v>
                </c:pt>
                <c:pt idx="194">
                  <c:v>0</c:v>
                </c:pt>
                <c:pt idx="195">
                  <c:v>0</c:v>
                </c:pt>
                <c:pt idx="196">
                  <c:v>1E-4</c:v>
                </c:pt>
                <c:pt idx="197">
                  <c:v>-2.9999999999999997E-4</c:v>
                </c:pt>
                <c:pt idx="198">
                  <c:v>-2.9999999999999997E-4</c:v>
                </c:pt>
                <c:pt idx="199">
                  <c:v>1E-4</c:v>
                </c:pt>
                <c:pt idx="200">
                  <c:v>0</c:v>
                </c:pt>
                <c:pt idx="201">
                  <c:v>-1E-4</c:v>
                </c:pt>
                <c:pt idx="202">
                  <c:v>-2.9999999999999997E-4</c:v>
                </c:pt>
                <c:pt idx="203">
                  <c:v>-2.0000000000000001E-4</c:v>
                </c:pt>
                <c:pt idx="204">
                  <c:v>-1E-4</c:v>
                </c:pt>
                <c:pt idx="205">
                  <c:v>-2.9999999999999997E-4</c:v>
                </c:pt>
                <c:pt idx="206">
                  <c:v>-5.9999999999999995E-4</c:v>
                </c:pt>
                <c:pt idx="207">
                  <c:v>-4.0000000000000002E-4</c:v>
                </c:pt>
                <c:pt idx="208">
                  <c:v>-1E-4</c:v>
                </c:pt>
                <c:pt idx="209">
                  <c:v>-2.0000000000000001E-4</c:v>
                </c:pt>
                <c:pt idx="210">
                  <c:v>-4.0000000000000002E-4</c:v>
                </c:pt>
                <c:pt idx="211">
                  <c:v>-2.0000000000000001E-4</c:v>
                </c:pt>
                <c:pt idx="212">
                  <c:v>-1E-4</c:v>
                </c:pt>
                <c:pt idx="213">
                  <c:v>-4.0000000000000002E-4</c:v>
                </c:pt>
                <c:pt idx="214">
                  <c:v>-4.0000000000000002E-4</c:v>
                </c:pt>
                <c:pt idx="215">
                  <c:v>-1E-4</c:v>
                </c:pt>
                <c:pt idx="216">
                  <c:v>-4.0000000000000002E-4</c:v>
                </c:pt>
                <c:pt idx="217">
                  <c:v>-2.9999999999999997E-4</c:v>
                </c:pt>
                <c:pt idx="218">
                  <c:v>-2.0000000000000001E-4</c:v>
                </c:pt>
                <c:pt idx="219">
                  <c:v>-2.9999999999999997E-4</c:v>
                </c:pt>
                <c:pt idx="220">
                  <c:v>-2.9999999999999997E-4</c:v>
                </c:pt>
                <c:pt idx="221">
                  <c:v>-2.0000000000000001E-4</c:v>
                </c:pt>
                <c:pt idx="222">
                  <c:v>-4.0000000000000002E-4</c:v>
                </c:pt>
                <c:pt idx="223">
                  <c:v>-2.0000000000000001E-4</c:v>
                </c:pt>
                <c:pt idx="224">
                  <c:v>-1E-4</c:v>
                </c:pt>
                <c:pt idx="225">
                  <c:v>-2.0000000000000001E-4</c:v>
                </c:pt>
                <c:pt idx="226">
                  <c:v>-2.0000000000000001E-4</c:v>
                </c:pt>
                <c:pt idx="227">
                  <c:v>1E-4</c:v>
                </c:pt>
                <c:pt idx="228">
                  <c:v>-5.0000000000000001E-4</c:v>
                </c:pt>
                <c:pt idx="229">
                  <c:v>-1E-4</c:v>
                </c:pt>
                <c:pt idx="230">
                  <c:v>-2.9999999999999997E-4</c:v>
                </c:pt>
                <c:pt idx="231">
                  <c:v>-2.9999999999999997E-4</c:v>
                </c:pt>
                <c:pt idx="232">
                  <c:v>-1E-4</c:v>
                </c:pt>
                <c:pt idx="233">
                  <c:v>-2.0000000000000001E-4</c:v>
                </c:pt>
                <c:pt idx="234">
                  <c:v>-2.9999999999999997E-4</c:v>
                </c:pt>
                <c:pt idx="235">
                  <c:v>-2.0000000000000001E-4</c:v>
                </c:pt>
                <c:pt idx="236">
                  <c:v>-2.9999999999999997E-4</c:v>
                </c:pt>
                <c:pt idx="237">
                  <c:v>-2.9999999999999997E-4</c:v>
                </c:pt>
                <c:pt idx="238">
                  <c:v>-2.9999999999999997E-4</c:v>
                </c:pt>
                <c:pt idx="239">
                  <c:v>-4.0000000000000002E-4</c:v>
                </c:pt>
                <c:pt idx="240">
                  <c:v>-2.0000000000000001E-4</c:v>
                </c:pt>
                <c:pt idx="241">
                  <c:v>-2.0000000000000001E-4</c:v>
                </c:pt>
                <c:pt idx="242">
                  <c:v>-2.0000000000000001E-4</c:v>
                </c:pt>
                <c:pt idx="243">
                  <c:v>-5.0000000000000001E-4</c:v>
                </c:pt>
                <c:pt idx="244">
                  <c:v>-4.0000000000000002E-4</c:v>
                </c:pt>
                <c:pt idx="245">
                  <c:v>-2.9999999999999997E-4</c:v>
                </c:pt>
                <c:pt idx="246">
                  <c:v>-2.9999999999999997E-4</c:v>
                </c:pt>
                <c:pt idx="247">
                  <c:v>-4.0000000000000002E-4</c:v>
                </c:pt>
                <c:pt idx="248">
                  <c:v>-4.0000000000000002E-4</c:v>
                </c:pt>
                <c:pt idx="249">
                  <c:v>-2.0000000000000001E-4</c:v>
                </c:pt>
                <c:pt idx="250">
                  <c:v>-2.9999999999999997E-4</c:v>
                </c:pt>
                <c:pt idx="251">
                  <c:v>-5.0000000000000001E-4</c:v>
                </c:pt>
                <c:pt idx="252">
                  <c:v>-4.0000000000000002E-4</c:v>
                </c:pt>
                <c:pt idx="253">
                  <c:v>-5.0000000000000001E-4</c:v>
                </c:pt>
                <c:pt idx="254">
                  <c:v>-2.0000000000000001E-4</c:v>
                </c:pt>
                <c:pt idx="255">
                  <c:v>-1E-4</c:v>
                </c:pt>
                <c:pt idx="256">
                  <c:v>-2.9999999999999997E-4</c:v>
                </c:pt>
                <c:pt idx="257">
                  <c:v>-2.9999999999999997E-4</c:v>
                </c:pt>
                <c:pt idx="258">
                  <c:v>-2.9999999999999997E-4</c:v>
                </c:pt>
                <c:pt idx="259">
                  <c:v>-4.0000000000000002E-4</c:v>
                </c:pt>
                <c:pt idx="260">
                  <c:v>-4.0000000000000002E-4</c:v>
                </c:pt>
                <c:pt idx="261">
                  <c:v>-4.0000000000000002E-4</c:v>
                </c:pt>
                <c:pt idx="262">
                  <c:v>-4.0000000000000002E-4</c:v>
                </c:pt>
                <c:pt idx="263">
                  <c:v>-2.0000000000000001E-4</c:v>
                </c:pt>
                <c:pt idx="264">
                  <c:v>-2.9999999999999997E-4</c:v>
                </c:pt>
                <c:pt idx="265">
                  <c:v>-2.0000000000000001E-4</c:v>
                </c:pt>
                <c:pt idx="266">
                  <c:v>-4.0000000000000002E-4</c:v>
                </c:pt>
                <c:pt idx="267">
                  <c:v>-2.0000000000000001E-4</c:v>
                </c:pt>
                <c:pt idx="268">
                  <c:v>-2.9999999999999997E-4</c:v>
                </c:pt>
                <c:pt idx="269">
                  <c:v>-2.9999999999999997E-4</c:v>
                </c:pt>
                <c:pt idx="270">
                  <c:v>-2.9999999999999997E-4</c:v>
                </c:pt>
                <c:pt idx="271">
                  <c:v>-4.0000000000000002E-4</c:v>
                </c:pt>
                <c:pt idx="272">
                  <c:v>-2.9999999999999997E-4</c:v>
                </c:pt>
                <c:pt idx="273">
                  <c:v>-4.0000000000000002E-4</c:v>
                </c:pt>
                <c:pt idx="274">
                  <c:v>-5.0000000000000001E-4</c:v>
                </c:pt>
                <c:pt idx="275">
                  <c:v>-2.9999999999999997E-4</c:v>
                </c:pt>
                <c:pt idx="276">
                  <c:v>-2.9999999999999997E-4</c:v>
                </c:pt>
                <c:pt idx="277">
                  <c:v>-5.0000000000000001E-4</c:v>
                </c:pt>
                <c:pt idx="278">
                  <c:v>-6.9999999999999999E-4</c:v>
                </c:pt>
                <c:pt idx="279">
                  <c:v>-2.0000000000000001E-4</c:v>
                </c:pt>
                <c:pt idx="280">
                  <c:v>-8.0000000000000004E-4</c:v>
                </c:pt>
                <c:pt idx="281">
                  <c:v>-4.0000000000000002E-4</c:v>
                </c:pt>
                <c:pt idx="282">
                  <c:v>-2.0000000000000001E-4</c:v>
                </c:pt>
                <c:pt idx="283">
                  <c:v>-8.9999999999999998E-4</c:v>
                </c:pt>
                <c:pt idx="284">
                  <c:v>-5.0000000000000001E-4</c:v>
                </c:pt>
                <c:pt idx="285">
                  <c:v>-5.9999999999999995E-4</c:v>
                </c:pt>
                <c:pt idx="286">
                  <c:v>-4.0000000000000002E-4</c:v>
                </c:pt>
                <c:pt idx="287">
                  <c:v>-5.9999999999999995E-4</c:v>
                </c:pt>
                <c:pt idx="288">
                  <c:v>-2.9999999999999997E-4</c:v>
                </c:pt>
                <c:pt idx="289">
                  <c:v>-6.9999999999999999E-4</c:v>
                </c:pt>
                <c:pt idx="290">
                  <c:v>-5.0000000000000001E-4</c:v>
                </c:pt>
                <c:pt idx="291">
                  <c:v>-5.0000000000000001E-4</c:v>
                </c:pt>
                <c:pt idx="292">
                  <c:v>-8.0000000000000004E-4</c:v>
                </c:pt>
                <c:pt idx="293">
                  <c:v>-5.0000000000000001E-4</c:v>
                </c:pt>
                <c:pt idx="294">
                  <c:v>-6.9999999999999999E-4</c:v>
                </c:pt>
                <c:pt idx="295">
                  <c:v>-6.9999999999999999E-4</c:v>
                </c:pt>
                <c:pt idx="296">
                  <c:v>-6.9999999999999999E-4</c:v>
                </c:pt>
                <c:pt idx="297">
                  <c:v>-8.0000000000000004E-4</c:v>
                </c:pt>
                <c:pt idx="298">
                  <c:v>-5.9999999999999995E-4</c:v>
                </c:pt>
                <c:pt idx="299">
                  <c:v>-5.9999999999999995E-4</c:v>
                </c:pt>
                <c:pt idx="300">
                  <c:v>-6.9999999999999999E-4</c:v>
                </c:pt>
                <c:pt idx="301">
                  <c:v>-5.0000000000000001E-4</c:v>
                </c:pt>
                <c:pt idx="302">
                  <c:v>-5.9999999999999995E-4</c:v>
                </c:pt>
                <c:pt idx="303">
                  <c:v>-4.0000000000000002E-4</c:v>
                </c:pt>
                <c:pt idx="304">
                  <c:v>-2.9999999999999997E-4</c:v>
                </c:pt>
                <c:pt idx="305">
                  <c:v>-2.0000000000000001E-4</c:v>
                </c:pt>
                <c:pt idx="306">
                  <c:v>-1E-3</c:v>
                </c:pt>
                <c:pt idx="307">
                  <c:v>-5.0000000000000001E-4</c:v>
                </c:pt>
                <c:pt idx="308">
                  <c:v>-5.0000000000000001E-4</c:v>
                </c:pt>
                <c:pt idx="309">
                  <c:v>-4.0000000000000002E-4</c:v>
                </c:pt>
                <c:pt idx="310">
                  <c:v>-2.0000000000000001E-4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99-4B41-A4F2-E780EBC989E6}"/>
            </c:ext>
          </c:extLst>
        </c:ser>
        <c:ser>
          <c:idx val="1"/>
          <c:order val="1"/>
          <c:tx>
            <c:v>Abs baseline corrected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blank!$F$9:$F$319</c:f>
              <c:numCache>
                <c:formatCode>General</c:formatCode>
                <c:ptCount val="311"/>
                <c:pt idx="0">
                  <c:v>2.0438528138528138</c:v>
                </c:pt>
                <c:pt idx="1">
                  <c:v>2.1521246320346323</c:v>
                </c:pt>
                <c:pt idx="2">
                  <c:v>2.3102964502164505</c:v>
                </c:pt>
                <c:pt idx="3">
                  <c:v>2.4390682683982687</c:v>
                </c:pt>
                <c:pt idx="4">
                  <c:v>2.507440086580087</c:v>
                </c:pt>
                <c:pt idx="5">
                  <c:v>2.5232119047619044</c:v>
                </c:pt>
                <c:pt idx="6">
                  <c:v>2.5711837229437227</c:v>
                </c:pt>
                <c:pt idx="7">
                  <c:v>2.6294555411255409</c:v>
                </c:pt>
                <c:pt idx="8">
                  <c:v>2.6617273593073594</c:v>
                </c:pt>
                <c:pt idx="9">
                  <c:v>2.6385991774891773</c:v>
                </c:pt>
                <c:pt idx="10">
                  <c:v>2.5705709956709955</c:v>
                </c:pt>
                <c:pt idx="11">
                  <c:v>2.555742813852814</c:v>
                </c:pt>
                <c:pt idx="12">
                  <c:v>2.5908146320346321</c:v>
                </c:pt>
                <c:pt idx="13">
                  <c:v>2.6141864502164505</c:v>
                </c:pt>
                <c:pt idx="14">
                  <c:v>2.6196582683982683</c:v>
                </c:pt>
                <c:pt idx="15">
                  <c:v>2.6159300865800867</c:v>
                </c:pt>
                <c:pt idx="16">
                  <c:v>2.585601904761905</c:v>
                </c:pt>
                <c:pt idx="17">
                  <c:v>2.4819737229437231</c:v>
                </c:pt>
                <c:pt idx="18">
                  <c:v>2.2346455411255408</c:v>
                </c:pt>
                <c:pt idx="19">
                  <c:v>1.9369173593073594</c:v>
                </c:pt>
                <c:pt idx="20">
                  <c:v>1.6125891774891776</c:v>
                </c:pt>
                <c:pt idx="21">
                  <c:v>1.2746609956709956</c:v>
                </c:pt>
                <c:pt idx="22">
                  <c:v>1.0106328138528138</c:v>
                </c:pt>
                <c:pt idx="23">
                  <c:v>0.75830463203463205</c:v>
                </c:pt>
                <c:pt idx="24">
                  <c:v>0.57227645021645024</c:v>
                </c:pt>
                <c:pt idx="25">
                  <c:v>0.42634826839826839</c:v>
                </c:pt>
                <c:pt idx="26">
                  <c:v>0.32022008658008655</c:v>
                </c:pt>
                <c:pt idx="27">
                  <c:v>0.23739190476190475</c:v>
                </c:pt>
                <c:pt idx="28">
                  <c:v>0.17346372294372295</c:v>
                </c:pt>
                <c:pt idx="29">
                  <c:v>0.12483554112554113</c:v>
                </c:pt>
                <c:pt idx="30">
                  <c:v>9.120735930735932E-2</c:v>
                </c:pt>
                <c:pt idx="31">
                  <c:v>6.597917748917749E-2</c:v>
                </c:pt>
                <c:pt idx="32">
                  <c:v>4.8250995670995667E-2</c:v>
                </c:pt>
                <c:pt idx="33">
                  <c:v>3.6022813852813848E-2</c:v>
                </c:pt>
                <c:pt idx="34">
                  <c:v>2.5594632034632032E-2</c:v>
                </c:pt>
                <c:pt idx="35">
                  <c:v>1.8166450216450213E-2</c:v>
                </c:pt>
                <c:pt idx="36">
                  <c:v>1.3438268398268397E-2</c:v>
                </c:pt>
                <c:pt idx="37">
                  <c:v>9.910086580086578E-3</c:v>
                </c:pt>
                <c:pt idx="38">
                  <c:v>7.2819047619047603E-3</c:v>
                </c:pt>
                <c:pt idx="39">
                  <c:v>5.7537229437229376E-3</c:v>
                </c:pt>
                <c:pt idx="40">
                  <c:v>4.7255411255411189E-3</c:v>
                </c:pt>
                <c:pt idx="41">
                  <c:v>3.5973593073593026E-3</c:v>
                </c:pt>
                <c:pt idx="42">
                  <c:v>2.8691774891774855E-3</c:v>
                </c:pt>
                <c:pt idx="43">
                  <c:v>2.2409956709956678E-3</c:v>
                </c:pt>
                <c:pt idx="44">
                  <c:v>1.8128138528138507E-3</c:v>
                </c:pt>
                <c:pt idx="45">
                  <c:v>1.3846320346320336E-3</c:v>
                </c:pt>
                <c:pt idx="46">
                  <c:v>1.1564502164502152E-3</c:v>
                </c:pt>
                <c:pt idx="47">
                  <c:v>9.2826839826839168E-4</c:v>
                </c:pt>
                <c:pt idx="48">
                  <c:v>6.0008658008657394E-4</c:v>
                </c:pt>
                <c:pt idx="49">
                  <c:v>3.7190476190475732E-4</c:v>
                </c:pt>
                <c:pt idx="50">
                  <c:v>3.437229437229395E-4</c:v>
                </c:pt>
                <c:pt idx="51">
                  <c:v>3.1554112554112255E-4</c:v>
                </c:pt>
                <c:pt idx="52">
                  <c:v>-1.2640692640695193E-5</c:v>
                </c:pt>
                <c:pt idx="53">
                  <c:v>5.9177489177488114E-5</c:v>
                </c:pt>
                <c:pt idx="54">
                  <c:v>3.0995670995670292E-5</c:v>
                </c:pt>
                <c:pt idx="55">
                  <c:v>-1.9718614718615413E-4</c:v>
                </c:pt>
                <c:pt idx="56">
                  <c:v>-2.2536796536797108E-4</c:v>
                </c:pt>
                <c:pt idx="57">
                  <c:v>-1.5354978354978864E-4</c:v>
                </c:pt>
                <c:pt idx="58">
                  <c:v>-8.1731601731605333E-5</c:v>
                </c:pt>
                <c:pt idx="59">
                  <c:v>-9.9134199134228926E-6</c:v>
                </c:pt>
                <c:pt idx="60">
                  <c:v>-3.8095238095239847E-5</c:v>
                </c:pt>
                <c:pt idx="61">
                  <c:v>-3.6627705627705759E-4</c:v>
                </c:pt>
                <c:pt idx="62">
                  <c:v>-1.9445887445887489E-4</c:v>
                </c:pt>
                <c:pt idx="63">
                  <c:v>-1.2264069264069938E-4</c:v>
                </c:pt>
                <c:pt idx="64">
                  <c:v>1.4917748917748358E-4</c:v>
                </c:pt>
                <c:pt idx="65">
                  <c:v>1.2099567099566663E-4</c:v>
                </c:pt>
                <c:pt idx="66">
                  <c:v>-1.0718614718615085E-4</c:v>
                </c:pt>
                <c:pt idx="67">
                  <c:v>-3.5367965367968414E-5</c:v>
                </c:pt>
                <c:pt idx="68">
                  <c:v>3.645021645021446E-5</c:v>
                </c:pt>
                <c:pt idx="69">
                  <c:v>1.0826839826839733E-4</c:v>
                </c:pt>
                <c:pt idx="70">
                  <c:v>3.8008658008657293E-4</c:v>
                </c:pt>
                <c:pt idx="71">
                  <c:v>3.5190476190475554E-4</c:v>
                </c:pt>
                <c:pt idx="72">
                  <c:v>5.2372294372293824E-4</c:v>
                </c:pt>
                <c:pt idx="73">
                  <c:v>5.9554112554112111E-4</c:v>
                </c:pt>
                <c:pt idx="74">
                  <c:v>8.6735930735930365E-4</c:v>
                </c:pt>
                <c:pt idx="75">
                  <c:v>8.3917748917748626E-4</c:v>
                </c:pt>
                <c:pt idx="76">
                  <c:v>8.109956709956693E-4</c:v>
                </c:pt>
                <c:pt idx="77">
                  <c:v>1.0828138528138518E-3</c:v>
                </c:pt>
                <c:pt idx="78">
                  <c:v>1.3546320346320274E-3</c:v>
                </c:pt>
                <c:pt idx="79">
                  <c:v>1.2264502164502102E-3</c:v>
                </c:pt>
                <c:pt idx="80">
                  <c:v>1.4982683982683932E-3</c:v>
                </c:pt>
                <c:pt idx="81">
                  <c:v>1.3700865800865755E-3</c:v>
                </c:pt>
                <c:pt idx="82">
                  <c:v>1.9419047619047584E-3</c:v>
                </c:pt>
                <c:pt idx="83">
                  <c:v>1.913722943722941E-3</c:v>
                </c:pt>
                <c:pt idx="84">
                  <c:v>2.185541125541124E-3</c:v>
                </c:pt>
                <c:pt idx="85">
                  <c:v>2.2573593073593064E-3</c:v>
                </c:pt>
                <c:pt idx="86">
                  <c:v>2.1291774891774823E-3</c:v>
                </c:pt>
                <c:pt idx="87">
                  <c:v>2.4009956709956648E-3</c:v>
                </c:pt>
                <c:pt idx="88">
                  <c:v>2.4728138528138477E-3</c:v>
                </c:pt>
                <c:pt idx="89">
                  <c:v>3.3446320346320305E-3</c:v>
                </c:pt>
                <c:pt idx="90">
                  <c:v>3.0164502164502132E-3</c:v>
                </c:pt>
                <c:pt idx="91">
                  <c:v>3.2882683982683957E-3</c:v>
                </c:pt>
                <c:pt idx="92">
                  <c:v>3.2600865800865783E-3</c:v>
                </c:pt>
                <c:pt idx="93">
                  <c:v>3.431904761904761E-3</c:v>
                </c:pt>
                <c:pt idx="94">
                  <c:v>4.003722943722937E-3</c:v>
                </c:pt>
                <c:pt idx="95">
                  <c:v>3.6755411255411197E-3</c:v>
                </c:pt>
                <c:pt idx="96">
                  <c:v>4.1473593073593027E-3</c:v>
                </c:pt>
                <c:pt idx="97">
                  <c:v>4.1191774891774849E-3</c:v>
                </c:pt>
                <c:pt idx="98">
                  <c:v>4.5909956709956675E-3</c:v>
                </c:pt>
                <c:pt idx="99">
                  <c:v>4.6628138528138508E-3</c:v>
                </c:pt>
                <c:pt idx="100">
                  <c:v>4.8346320346320335E-3</c:v>
                </c:pt>
                <c:pt idx="101">
                  <c:v>5.0064502164502093E-3</c:v>
                </c:pt>
                <c:pt idx="102">
                  <c:v>4.9782683982683915E-3</c:v>
                </c:pt>
                <c:pt idx="103">
                  <c:v>5.3500865800865747E-3</c:v>
                </c:pt>
                <c:pt idx="104">
                  <c:v>5.1219047619047572E-3</c:v>
                </c:pt>
                <c:pt idx="105">
                  <c:v>5.1937229437229396E-3</c:v>
                </c:pt>
                <c:pt idx="106">
                  <c:v>5.3655411255411223E-3</c:v>
                </c:pt>
                <c:pt idx="107">
                  <c:v>5.5373593073593051E-3</c:v>
                </c:pt>
                <c:pt idx="108">
                  <c:v>5.7091774891774878E-3</c:v>
                </c:pt>
                <c:pt idx="109">
                  <c:v>5.8809956709956635E-3</c:v>
                </c:pt>
                <c:pt idx="110">
                  <c:v>5.8528138528138457E-3</c:v>
                </c:pt>
                <c:pt idx="111">
                  <c:v>5.924632034632029E-3</c:v>
                </c:pt>
                <c:pt idx="112">
                  <c:v>5.9964502164502123E-3</c:v>
                </c:pt>
                <c:pt idx="113">
                  <c:v>6.168268398268395E-3</c:v>
                </c:pt>
                <c:pt idx="114">
                  <c:v>6.0400865800865769E-3</c:v>
                </c:pt>
                <c:pt idx="115">
                  <c:v>6.1119047619047594E-3</c:v>
                </c:pt>
                <c:pt idx="116">
                  <c:v>6.4837229437229426E-3</c:v>
                </c:pt>
                <c:pt idx="117">
                  <c:v>6.4555411255411178E-3</c:v>
                </c:pt>
                <c:pt idx="118">
                  <c:v>6.6273593073593005E-3</c:v>
                </c:pt>
                <c:pt idx="119">
                  <c:v>6.5991774891774836E-3</c:v>
                </c:pt>
                <c:pt idx="120">
                  <c:v>6.5709956709956666E-3</c:v>
                </c:pt>
                <c:pt idx="121">
                  <c:v>6.7428138528138493E-3</c:v>
                </c:pt>
                <c:pt idx="122">
                  <c:v>6.6146320346320321E-3</c:v>
                </c:pt>
                <c:pt idx="123">
                  <c:v>6.7864502164502148E-3</c:v>
                </c:pt>
                <c:pt idx="124">
                  <c:v>6.5582683982683973E-3</c:v>
                </c:pt>
                <c:pt idx="125">
                  <c:v>6.8300865800865734E-3</c:v>
                </c:pt>
                <c:pt idx="126">
                  <c:v>7.2019047619047557E-3</c:v>
                </c:pt>
                <c:pt idx="127">
                  <c:v>7.2737229437229382E-3</c:v>
                </c:pt>
                <c:pt idx="128">
                  <c:v>7.3455411255411215E-3</c:v>
                </c:pt>
                <c:pt idx="129">
                  <c:v>7.6173593073593036E-3</c:v>
                </c:pt>
                <c:pt idx="130">
                  <c:v>7.5891774891774866E-3</c:v>
                </c:pt>
                <c:pt idx="131">
                  <c:v>8.1609956709956695E-3</c:v>
                </c:pt>
                <c:pt idx="132">
                  <c:v>8.1328138528138447E-3</c:v>
                </c:pt>
                <c:pt idx="133">
                  <c:v>8.3046320346320274E-3</c:v>
                </c:pt>
                <c:pt idx="134">
                  <c:v>7.8764502164502103E-3</c:v>
                </c:pt>
                <c:pt idx="135">
                  <c:v>8.3482683982683929E-3</c:v>
                </c:pt>
                <c:pt idx="136">
                  <c:v>8.2200865800865757E-3</c:v>
                </c:pt>
                <c:pt idx="137">
                  <c:v>8.4919047619047578E-3</c:v>
                </c:pt>
                <c:pt idx="138">
                  <c:v>8.7637229437229416E-3</c:v>
                </c:pt>
                <c:pt idx="139">
                  <c:v>8.8355411255411232E-3</c:v>
                </c:pt>
                <c:pt idx="140">
                  <c:v>9.007359307359299E-3</c:v>
                </c:pt>
                <c:pt idx="141">
                  <c:v>9.0791774891774823E-3</c:v>
                </c:pt>
                <c:pt idx="142">
                  <c:v>9.4509956709956655E-3</c:v>
                </c:pt>
                <c:pt idx="143">
                  <c:v>9.4228138528138477E-3</c:v>
                </c:pt>
                <c:pt idx="144">
                  <c:v>9.7946320346320309E-3</c:v>
                </c:pt>
                <c:pt idx="145">
                  <c:v>9.7664502164502131E-3</c:v>
                </c:pt>
                <c:pt idx="146">
                  <c:v>1.0038268398268395E-2</c:v>
                </c:pt>
                <c:pt idx="147">
                  <c:v>9.910086580086578E-3</c:v>
                </c:pt>
                <c:pt idx="148">
                  <c:v>1.0181904761904755E-2</c:v>
                </c:pt>
                <c:pt idx="149">
                  <c:v>1.0053722943722938E-2</c:v>
                </c:pt>
                <c:pt idx="150">
                  <c:v>1.052554112554112E-2</c:v>
                </c:pt>
                <c:pt idx="151">
                  <c:v>1.0797359307359302E-2</c:v>
                </c:pt>
                <c:pt idx="152">
                  <c:v>1.0869177489177486E-2</c:v>
                </c:pt>
                <c:pt idx="153">
                  <c:v>1.0740995670995668E-2</c:v>
                </c:pt>
                <c:pt idx="154">
                  <c:v>1.1012813852813851E-2</c:v>
                </c:pt>
                <c:pt idx="155">
                  <c:v>1.1184632034632033E-2</c:v>
                </c:pt>
                <c:pt idx="156">
                  <c:v>1.155645021645021E-2</c:v>
                </c:pt>
                <c:pt idx="157">
                  <c:v>1.1628268398268391E-2</c:v>
                </c:pt>
                <c:pt idx="158">
                  <c:v>1.1700086580086574E-2</c:v>
                </c:pt>
                <c:pt idx="159">
                  <c:v>1.1771904761904758E-2</c:v>
                </c:pt>
                <c:pt idx="160">
                  <c:v>1.224372294372294E-2</c:v>
                </c:pt>
                <c:pt idx="161">
                  <c:v>1.2315541125541122E-2</c:v>
                </c:pt>
                <c:pt idx="162">
                  <c:v>1.2687359307359305E-2</c:v>
                </c:pt>
                <c:pt idx="163">
                  <c:v>1.2859177489177481E-2</c:v>
                </c:pt>
                <c:pt idx="164">
                  <c:v>1.2830995670995663E-2</c:v>
                </c:pt>
                <c:pt idx="165">
                  <c:v>1.3402813852813847E-2</c:v>
                </c:pt>
                <c:pt idx="166">
                  <c:v>1.3174632034632029E-2</c:v>
                </c:pt>
                <c:pt idx="167">
                  <c:v>1.3546450216450212E-2</c:v>
                </c:pt>
                <c:pt idx="168">
                  <c:v>1.3218268398268394E-2</c:v>
                </c:pt>
                <c:pt idx="169">
                  <c:v>1.3690086580086577E-2</c:v>
                </c:pt>
                <c:pt idx="170">
                  <c:v>1.396190476190476E-2</c:v>
                </c:pt>
                <c:pt idx="171">
                  <c:v>1.4033722943722935E-2</c:v>
                </c:pt>
                <c:pt idx="172">
                  <c:v>1.3905541125541118E-2</c:v>
                </c:pt>
                <c:pt idx="173">
                  <c:v>1.43773593073593E-2</c:v>
                </c:pt>
                <c:pt idx="174">
                  <c:v>1.4449177489177491E-2</c:v>
                </c:pt>
                <c:pt idx="175">
                  <c:v>1.4820995670995667E-2</c:v>
                </c:pt>
                <c:pt idx="176">
                  <c:v>1.4492813852813842E-2</c:v>
                </c:pt>
                <c:pt idx="177">
                  <c:v>1.4864632034632033E-2</c:v>
                </c:pt>
                <c:pt idx="178">
                  <c:v>1.4936450216450207E-2</c:v>
                </c:pt>
                <c:pt idx="179">
                  <c:v>1.5308268398268397E-2</c:v>
                </c:pt>
                <c:pt idx="180">
                  <c:v>1.5980086580086574E-2</c:v>
                </c:pt>
                <c:pt idx="181">
                  <c:v>1.5451904761904762E-2</c:v>
                </c:pt>
                <c:pt idx="182">
                  <c:v>1.5423722943722939E-2</c:v>
                </c:pt>
                <c:pt idx="183">
                  <c:v>1.5695541125541113E-2</c:v>
                </c:pt>
                <c:pt idx="184">
                  <c:v>1.6267359307359303E-2</c:v>
                </c:pt>
                <c:pt idx="185">
                  <c:v>1.633917748917748E-2</c:v>
                </c:pt>
                <c:pt idx="186">
                  <c:v>1.6010995670995669E-2</c:v>
                </c:pt>
                <c:pt idx="187">
                  <c:v>1.6582813852813846E-2</c:v>
                </c:pt>
                <c:pt idx="188">
                  <c:v>1.7254632034632036E-2</c:v>
                </c:pt>
                <c:pt idx="189">
                  <c:v>1.702645021645021E-2</c:v>
                </c:pt>
                <c:pt idx="190">
                  <c:v>1.6998268398268401E-2</c:v>
                </c:pt>
                <c:pt idx="191">
                  <c:v>1.7070086580086574E-2</c:v>
                </c:pt>
                <c:pt idx="192">
                  <c:v>1.7341904761904753E-2</c:v>
                </c:pt>
                <c:pt idx="193">
                  <c:v>1.7613722943722942E-2</c:v>
                </c:pt>
                <c:pt idx="194">
                  <c:v>1.7885541125541117E-2</c:v>
                </c:pt>
                <c:pt idx="195">
                  <c:v>1.8057359307359307E-2</c:v>
                </c:pt>
                <c:pt idx="196">
                  <c:v>1.8329177489177482E-2</c:v>
                </c:pt>
                <c:pt idx="197">
                  <c:v>1.810099567099567E-2</c:v>
                </c:pt>
                <c:pt idx="198">
                  <c:v>1.8272813852813846E-2</c:v>
                </c:pt>
                <c:pt idx="199">
                  <c:v>1.8844632034632023E-2</c:v>
                </c:pt>
                <c:pt idx="200">
                  <c:v>1.8916450216450213E-2</c:v>
                </c:pt>
                <c:pt idx="201">
                  <c:v>1.898826839826839E-2</c:v>
                </c:pt>
                <c:pt idx="202">
                  <c:v>1.8960086580086577E-2</c:v>
                </c:pt>
                <c:pt idx="203">
                  <c:v>1.9231904761904756E-2</c:v>
                </c:pt>
                <c:pt idx="204">
                  <c:v>1.9503722943722945E-2</c:v>
                </c:pt>
                <c:pt idx="205">
                  <c:v>1.9475541125541118E-2</c:v>
                </c:pt>
                <c:pt idx="206">
                  <c:v>1.9347359307359296E-2</c:v>
                </c:pt>
                <c:pt idx="207">
                  <c:v>1.9719177489177484E-2</c:v>
                </c:pt>
                <c:pt idx="208">
                  <c:v>2.0190995670995662E-2</c:v>
                </c:pt>
                <c:pt idx="209">
                  <c:v>2.0262813852813852E-2</c:v>
                </c:pt>
                <c:pt idx="210">
                  <c:v>2.0234632034632025E-2</c:v>
                </c:pt>
                <c:pt idx="211">
                  <c:v>2.0606450216450217E-2</c:v>
                </c:pt>
                <c:pt idx="212">
                  <c:v>2.0878268398268392E-2</c:v>
                </c:pt>
                <c:pt idx="213">
                  <c:v>2.075008658008658E-2</c:v>
                </c:pt>
                <c:pt idx="214">
                  <c:v>2.0921904761904756E-2</c:v>
                </c:pt>
                <c:pt idx="215">
                  <c:v>2.1393722943722934E-2</c:v>
                </c:pt>
                <c:pt idx="216">
                  <c:v>2.1265541125541122E-2</c:v>
                </c:pt>
                <c:pt idx="217">
                  <c:v>2.1537359307359297E-2</c:v>
                </c:pt>
                <c:pt idx="218">
                  <c:v>2.1809177489177489E-2</c:v>
                </c:pt>
                <c:pt idx="219">
                  <c:v>2.1880995670995662E-2</c:v>
                </c:pt>
                <c:pt idx="220">
                  <c:v>2.2052813852813852E-2</c:v>
                </c:pt>
                <c:pt idx="221">
                  <c:v>2.232463203463203E-2</c:v>
                </c:pt>
                <c:pt idx="222">
                  <c:v>2.2296450216450204E-2</c:v>
                </c:pt>
                <c:pt idx="223">
                  <c:v>2.2668268398268396E-2</c:v>
                </c:pt>
                <c:pt idx="224">
                  <c:v>2.2940086580086571E-2</c:v>
                </c:pt>
                <c:pt idx="225">
                  <c:v>2.3011904761904761E-2</c:v>
                </c:pt>
                <c:pt idx="226">
                  <c:v>2.3183722943722937E-2</c:v>
                </c:pt>
                <c:pt idx="227">
                  <c:v>2.3655541125541125E-2</c:v>
                </c:pt>
                <c:pt idx="228">
                  <c:v>2.3227359307359301E-2</c:v>
                </c:pt>
                <c:pt idx="229">
                  <c:v>2.3799177489177478E-2</c:v>
                </c:pt>
                <c:pt idx="230">
                  <c:v>2.3770995670995665E-2</c:v>
                </c:pt>
                <c:pt idx="231">
                  <c:v>2.3942813852813841E-2</c:v>
                </c:pt>
                <c:pt idx="232">
                  <c:v>2.4314632034632033E-2</c:v>
                </c:pt>
                <c:pt idx="233">
                  <c:v>2.4386450216450209E-2</c:v>
                </c:pt>
                <c:pt idx="234">
                  <c:v>2.4458268398268396E-2</c:v>
                </c:pt>
                <c:pt idx="235">
                  <c:v>2.4730086580086574E-2</c:v>
                </c:pt>
                <c:pt idx="236">
                  <c:v>2.4801904761904761E-2</c:v>
                </c:pt>
                <c:pt idx="237">
                  <c:v>2.4973722943722937E-2</c:v>
                </c:pt>
                <c:pt idx="238">
                  <c:v>2.5145541125541113E-2</c:v>
                </c:pt>
                <c:pt idx="239">
                  <c:v>2.5217359307359303E-2</c:v>
                </c:pt>
                <c:pt idx="240">
                  <c:v>2.5589177489177481E-2</c:v>
                </c:pt>
                <c:pt idx="241">
                  <c:v>2.5760995670995671E-2</c:v>
                </c:pt>
                <c:pt idx="242">
                  <c:v>2.5932813852813846E-2</c:v>
                </c:pt>
                <c:pt idx="243">
                  <c:v>2.5804632034632034E-2</c:v>
                </c:pt>
                <c:pt idx="244">
                  <c:v>2.6076450216450209E-2</c:v>
                </c:pt>
                <c:pt idx="245">
                  <c:v>2.6348268398268385E-2</c:v>
                </c:pt>
                <c:pt idx="246">
                  <c:v>2.6520086580086574E-2</c:v>
                </c:pt>
                <c:pt idx="247">
                  <c:v>2.6591904761904751E-2</c:v>
                </c:pt>
                <c:pt idx="248">
                  <c:v>2.676372294372294E-2</c:v>
                </c:pt>
                <c:pt idx="249">
                  <c:v>2.7135541125541118E-2</c:v>
                </c:pt>
                <c:pt idx="250">
                  <c:v>2.7207359307359305E-2</c:v>
                </c:pt>
                <c:pt idx="251">
                  <c:v>2.7179177489177482E-2</c:v>
                </c:pt>
                <c:pt idx="252">
                  <c:v>2.7450995670995671E-2</c:v>
                </c:pt>
                <c:pt idx="253">
                  <c:v>2.7522813852813847E-2</c:v>
                </c:pt>
                <c:pt idx="254">
                  <c:v>2.7994632034632025E-2</c:v>
                </c:pt>
                <c:pt idx="255">
                  <c:v>2.8266450216450214E-2</c:v>
                </c:pt>
                <c:pt idx="256">
                  <c:v>2.8238268398268387E-2</c:v>
                </c:pt>
                <c:pt idx="257">
                  <c:v>2.8410086580086577E-2</c:v>
                </c:pt>
                <c:pt idx="258">
                  <c:v>2.8581904761904753E-2</c:v>
                </c:pt>
                <c:pt idx="259">
                  <c:v>2.8653722943722943E-2</c:v>
                </c:pt>
                <c:pt idx="260">
                  <c:v>2.8825541125541119E-2</c:v>
                </c:pt>
                <c:pt idx="261">
                  <c:v>2.8997359307359295E-2</c:v>
                </c:pt>
                <c:pt idx="262">
                  <c:v>2.9169177489177484E-2</c:v>
                </c:pt>
                <c:pt idx="263">
                  <c:v>2.9540995670995662E-2</c:v>
                </c:pt>
                <c:pt idx="264">
                  <c:v>2.9612813852813849E-2</c:v>
                </c:pt>
                <c:pt idx="265">
                  <c:v>2.9884632034632028E-2</c:v>
                </c:pt>
                <c:pt idx="266">
                  <c:v>2.9856450216450215E-2</c:v>
                </c:pt>
                <c:pt idx="267">
                  <c:v>3.0228268398268393E-2</c:v>
                </c:pt>
                <c:pt idx="268">
                  <c:v>3.0300086580086566E-2</c:v>
                </c:pt>
                <c:pt idx="269">
                  <c:v>3.0471904761904756E-2</c:v>
                </c:pt>
                <c:pt idx="270">
                  <c:v>3.0643722943722931E-2</c:v>
                </c:pt>
                <c:pt idx="271">
                  <c:v>3.0715541125541122E-2</c:v>
                </c:pt>
                <c:pt idx="272">
                  <c:v>3.0987359307359297E-2</c:v>
                </c:pt>
                <c:pt idx="273">
                  <c:v>3.1059177489177487E-2</c:v>
                </c:pt>
                <c:pt idx="274">
                  <c:v>3.1130995670995663E-2</c:v>
                </c:pt>
                <c:pt idx="275">
                  <c:v>3.1502813852813852E-2</c:v>
                </c:pt>
                <c:pt idx="276">
                  <c:v>3.1674632034632028E-2</c:v>
                </c:pt>
                <c:pt idx="277">
                  <c:v>3.1646450216450205E-2</c:v>
                </c:pt>
                <c:pt idx="278">
                  <c:v>3.1618268398268395E-2</c:v>
                </c:pt>
                <c:pt idx="279">
                  <c:v>3.2290086580086572E-2</c:v>
                </c:pt>
                <c:pt idx="280">
                  <c:v>3.1861904761904758E-2</c:v>
                </c:pt>
                <c:pt idx="281">
                  <c:v>3.2433722943722938E-2</c:v>
                </c:pt>
                <c:pt idx="282">
                  <c:v>3.2805541125541127E-2</c:v>
                </c:pt>
                <c:pt idx="283">
                  <c:v>3.2277359307359303E-2</c:v>
                </c:pt>
                <c:pt idx="284">
                  <c:v>3.2849177489177477E-2</c:v>
                </c:pt>
                <c:pt idx="285">
                  <c:v>3.2920995670995663E-2</c:v>
                </c:pt>
                <c:pt idx="286">
                  <c:v>3.3292813852813845E-2</c:v>
                </c:pt>
                <c:pt idx="287">
                  <c:v>3.3264632034632029E-2</c:v>
                </c:pt>
                <c:pt idx="288">
                  <c:v>3.3736450216450206E-2</c:v>
                </c:pt>
                <c:pt idx="289">
                  <c:v>3.3508268398268398E-2</c:v>
                </c:pt>
                <c:pt idx="290">
                  <c:v>3.3880086580086573E-2</c:v>
                </c:pt>
                <c:pt idx="291">
                  <c:v>3.4051904761904749E-2</c:v>
                </c:pt>
                <c:pt idx="292">
                  <c:v>3.3923722943722937E-2</c:v>
                </c:pt>
                <c:pt idx="293">
                  <c:v>3.4395541125541114E-2</c:v>
                </c:pt>
                <c:pt idx="294">
                  <c:v>3.4367359307359305E-2</c:v>
                </c:pt>
                <c:pt idx="295">
                  <c:v>3.4539177489177481E-2</c:v>
                </c:pt>
                <c:pt idx="296">
                  <c:v>3.471099567099567E-2</c:v>
                </c:pt>
                <c:pt idx="297">
                  <c:v>3.4782813852813843E-2</c:v>
                </c:pt>
                <c:pt idx="298">
                  <c:v>3.5154632034632032E-2</c:v>
                </c:pt>
                <c:pt idx="299">
                  <c:v>3.5326450216450207E-2</c:v>
                </c:pt>
                <c:pt idx="300">
                  <c:v>3.5398268398268387E-2</c:v>
                </c:pt>
                <c:pt idx="301">
                  <c:v>3.5770086580086576E-2</c:v>
                </c:pt>
                <c:pt idx="302">
                  <c:v>3.5841904761904748E-2</c:v>
                </c:pt>
                <c:pt idx="303">
                  <c:v>3.6213722943722944E-2</c:v>
                </c:pt>
                <c:pt idx="304">
                  <c:v>3.6485541125541116E-2</c:v>
                </c:pt>
                <c:pt idx="305">
                  <c:v>3.6757359307359308E-2</c:v>
                </c:pt>
                <c:pt idx="306">
                  <c:v>3.6129177489177482E-2</c:v>
                </c:pt>
                <c:pt idx="307">
                  <c:v>3.6800995670995658E-2</c:v>
                </c:pt>
                <c:pt idx="308">
                  <c:v>3.6972813852813848E-2</c:v>
                </c:pt>
                <c:pt idx="309">
                  <c:v>3.7244632034632026E-2</c:v>
                </c:pt>
                <c:pt idx="310">
                  <c:v>3.7616450216450215E-2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599-4B41-A4F2-E780EBC98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680016"/>
        <c:axId val="568682512"/>
      </c:scatterChart>
      <c:valAx>
        <c:axId val="568680016"/>
        <c:scaling>
          <c:orientation val="minMax"/>
          <c:max val="260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2512"/>
        <c:crosses val="autoZero"/>
        <c:crossBetween val="midCat"/>
      </c:valAx>
      <c:valAx>
        <c:axId val="568682512"/>
        <c:scaling>
          <c:orientation val="minMax"/>
          <c:max val="0.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Absorbance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00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45757597593699639"/>
          <c:y val="0.15928346776023233"/>
          <c:w val="0.4301829778969114"/>
          <c:h val="0.190584161448407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45 uM NO3 standard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098265377363579"/>
          <c:y val="0.13506500136128505"/>
          <c:w val="0.76768397407968225"/>
          <c:h val="0.81541116480624376"/>
        </c:manualLayout>
      </c:layout>
      <c:scatterChart>
        <c:scatterStyle val="lineMarker"/>
        <c:varyColors val="0"/>
        <c:ser>
          <c:idx val="0"/>
          <c:order val="0"/>
          <c:tx>
            <c:v>Abs measured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blank!$D$9:$D$319</c:f>
              <c:numCache>
                <c:formatCode>General</c:formatCode>
                <c:ptCount val="311"/>
                <c:pt idx="0">
                  <c:v>2.0596000000000001</c:v>
                </c:pt>
                <c:pt idx="1">
                  <c:v>2.1962000000000002</c:v>
                </c:pt>
                <c:pt idx="2">
                  <c:v>2.3565</c:v>
                </c:pt>
                <c:pt idx="3">
                  <c:v>2.4899</c:v>
                </c:pt>
                <c:pt idx="4">
                  <c:v>2.5438000000000001</c:v>
                </c:pt>
                <c:pt idx="5">
                  <c:v>2.5748000000000002</c:v>
                </c:pt>
                <c:pt idx="6">
                  <c:v>2.6202000000000001</c:v>
                </c:pt>
                <c:pt idx="7">
                  <c:v>2.6735000000000002</c:v>
                </c:pt>
                <c:pt idx="8">
                  <c:v>2.7201</c:v>
                </c:pt>
                <c:pt idx="9">
                  <c:v>2.6846000000000001</c:v>
                </c:pt>
                <c:pt idx="10">
                  <c:v>2.6185999999999998</c:v>
                </c:pt>
                <c:pt idx="11">
                  <c:v>2.6101999999999999</c:v>
                </c:pt>
                <c:pt idx="12">
                  <c:v>2.6427999999999998</c:v>
                </c:pt>
                <c:pt idx="13">
                  <c:v>2.6738</c:v>
                </c:pt>
                <c:pt idx="14">
                  <c:v>2.6800999999999999</c:v>
                </c:pt>
                <c:pt idx="15">
                  <c:v>2.6726000000000001</c:v>
                </c:pt>
                <c:pt idx="16">
                  <c:v>2.6478000000000002</c:v>
                </c:pt>
                <c:pt idx="17">
                  <c:v>2.5709</c:v>
                </c:pt>
                <c:pt idx="18">
                  <c:v>2.3725000000000001</c:v>
                </c:pt>
                <c:pt idx="19">
                  <c:v>2.1259000000000001</c:v>
                </c:pt>
                <c:pt idx="20">
                  <c:v>1.8226</c:v>
                </c:pt>
                <c:pt idx="21">
                  <c:v>1.5108999999999999</c:v>
                </c:pt>
                <c:pt idx="22">
                  <c:v>1.2526999999999999</c:v>
                </c:pt>
                <c:pt idx="23">
                  <c:v>1.0001</c:v>
                </c:pt>
                <c:pt idx="24">
                  <c:v>0.80630000000000002</c:v>
                </c:pt>
                <c:pt idx="25">
                  <c:v>0.64880000000000004</c:v>
                </c:pt>
                <c:pt idx="26">
                  <c:v>0.53029999999999999</c:v>
                </c:pt>
                <c:pt idx="27">
                  <c:v>0.43340000000000001</c:v>
                </c:pt>
                <c:pt idx="28">
                  <c:v>0.35389999999999999</c:v>
                </c:pt>
                <c:pt idx="29">
                  <c:v>0.29039999999999999</c:v>
                </c:pt>
                <c:pt idx="30">
                  <c:v>0.24049999999999999</c:v>
                </c:pt>
                <c:pt idx="31">
                  <c:v>0.2009</c:v>
                </c:pt>
                <c:pt idx="32">
                  <c:v>0.1694</c:v>
                </c:pt>
                <c:pt idx="33">
                  <c:v>0.1449</c:v>
                </c:pt>
                <c:pt idx="34">
                  <c:v>0.12180000000000001</c:v>
                </c:pt>
                <c:pt idx="35">
                  <c:v>0.1019</c:v>
                </c:pt>
                <c:pt idx="36">
                  <c:v>8.6300000000000002E-2</c:v>
                </c:pt>
                <c:pt idx="37">
                  <c:v>7.3200000000000001E-2</c:v>
                </c:pt>
                <c:pt idx="38">
                  <c:v>6.2199999999999998E-2</c:v>
                </c:pt>
                <c:pt idx="39">
                  <c:v>5.4899999999999997E-2</c:v>
                </c:pt>
                <c:pt idx="40">
                  <c:v>4.8800000000000003E-2</c:v>
                </c:pt>
                <c:pt idx="41">
                  <c:v>4.1500000000000002E-2</c:v>
                </c:pt>
                <c:pt idx="42">
                  <c:v>3.5999999999999997E-2</c:v>
                </c:pt>
                <c:pt idx="43">
                  <c:v>3.0800000000000001E-2</c:v>
                </c:pt>
                <c:pt idx="44">
                  <c:v>2.7199999999999998E-2</c:v>
                </c:pt>
                <c:pt idx="45">
                  <c:v>2.4299999999999999E-2</c:v>
                </c:pt>
                <c:pt idx="46">
                  <c:v>2.1399999999999999E-2</c:v>
                </c:pt>
                <c:pt idx="47">
                  <c:v>1.9199999999999998E-2</c:v>
                </c:pt>
                <c:pt idx="48">
                  <c:v>1.7100000000000001E-2</c:v>
                </c:pt>
                <c:pt idx="49">
                  <c:v>1.54E-2</c:v>
                </c:pt>
                <c:pt idx="50">
                  <c:v>1.41E-2</c:v>
                </c:pt>
                <c:pt idx="51">
                  <c:v>1.2999999999999999E-2</c:v>
                </c:pt>
                <c:pt idx="52">
                  <c:v>1.2200000000000001E-2</c:v>
                </c:pt>
                <c:pt idx="53">
                  <c:v>1.15E-2</c:v>
                </c:pt>
                <c:pt idx="54">
                  <c:v>1.0999999999999999E-2</c:v>
                </c:pt>
                <c:pt idx="55">
                  <c:v>1.03E-2</c:v>
                </c:pt>
                <c:pt idx="56">
                  <c:v>9.7999999999999997E-3</c:v>
                </c:pt>
                <c:pt idx="57">
                  <c:v>9.7000000000000003E-3</c:v>
                </c:pt>
                <c:pt idx="58">
                  <c:v>9.4999999999999998E-3</c:v>
                </c:pt>
                <c:pt idx="59">
                  <c:v>9.1000000000000004E-3</c:v>
                </c:pt>
                <c:pt idx="60">
                  <c:v>8.9999999999999993E-3</c:v>
                </c:pt>
                <c:pt idx="61">
                  <c:v>8.6999999999999994E-3</c:v>
                </c:pt>
                <c:pt idx="62">
                  <c:v>8.6999999999999994E-3</c:v>
                </c:pt>
                <c:pt idx="63">
                  <c:v>8.6E-3</c:v>
                </c:pt>
                <c:pt idx="64">
                  <c:v>8.5000000000000006E-3</c:v>
                </c:pt>
                <c:pt idx="65">
                  <c:v>8.3000000000000001E-3</c:v>
                </c:pt>
                <c:pt idx="66">
                  <c:v>8.0000000000000002E-3</c:v>
                </c:pt>
                <c:pt idx="67">
                  <c:v>8.0999999999999996E-3</c:v>
                </c:pt>
                <c:pt idx="68">
                  <c:v>7.7000000000000002E-3</c:v>
                </c:pt>
                <c:pt idx="69">
                  <c:v>7.4999999999999997E-3</c:v>
                </c:pt>
                <c:pt idx="70">
                  <c:v>7.7000000000000002E-3</c:v>
                </c:pt>
                <c:pt idx="71">
                  <c:v>7.6E-3</c:v>
                </c:pt>
                <c:pt idx="72">
                  <c:v>7.4999999999999997E-3</c:v>
                </c:pt>
                <c:pt idx="73">
                  <c:v>7.4000000000000003E-3</c:v>
                </c:pt>
                <c:pt idx="74">
                  <c:v>7.4000000000000003E-3</c:v>
                </c:pt>
                <c:pt idx="75">
                  <c:v>7.1999999999999998E-3</c:v>
                </c:pt>
                <c:pt idx="76">
                  <c:v>7.0000000000000001E-3</c:v>
                </c:pt>
                <c:pt idx="77">
                  <c:v>7.1000000000000004E-3</c:v>
                </c:pt>
                <c:pt idx="78">
                  <c:v>7.0000000000000001E-3</c:v>
                </c:pt>
                <c:pt idx="79">
                  <c:v>7.0000000000000001E-3</c:v>
                </c:pt>
                <c:pt idx="80">
                  <c:v>7.0000000000000001E-3</c:v>
                </c:pt>
                <c:pt idx="81">
                  <c:v>6.7000000000000002E-3</c:v>
                </c:pt>
                <c:pt idx="82">
                  <c:v>7.1000000000000004E-3</c:v>
                </c:pt>
                <c:pt idx="83">
                  <c:v>6.7999999999999996E-3</c:v>
                </c:pt>
                <c:pt idx="84">
                  <c:v>6.7999999999999996E-3</c:v>
                </c:pt>
                <c:pt idx="85">
                  <c:v>6.7000000000000002E-3</c:v>
                </c:pt>
                <c:pt idx="86">
                  <c:v>6.4999999999999997E-3</c:v>
                </c:pt>
                <c:pt idx="87">
                  <c:v>6.4999999999999997E-3</c:v>
                </c:pt>
                <c:pt idx="88">
                  <c:v>6.7000000000000002E-3</c:v>
                </c:pt>
                <c:pt idx="89">
                  <c:v>6.8999999999999999E-3</c:v>
                </c:pt>
                <c:pt idx="90">
                  <c:v>6.4999999999999997E-3</c:v>
                </c:pt>
                <c:pt idx="91">
                  <c:v>6.7000000000000002E-3</c:v>
                </c:pt>
                <c:pt idx="92">
                  <c:v>6.6E-3</c:v>
                </c:pt>
                <c:pt idx="93">
                  <c:v>6.3E-3</c:v>
                </c:pt>
                <c:pt idx="94">
                  <c:v>6.6E-3</c:v>
                </c:pt>
                <c:pt idx="95">
                  <c:v>6.1000000000000004E-3</c:v>
                </c:pt>
                <c:pt idx="96">
                  <c:v>6.4999999999999997E-3</c:v>
                </c:pt>
                <c:pt idx="97">
                  <c:v>6.1999999999999998E-3</c:v>
                </c:pt>
                <c:pt idx="98">
                  <c:v>6.4999999999999997E-3</c:v>
                </c:pt>
                <c:pt idx="99">
                  <c:v>6.1999999999999998E-3</c:v>
                </c:pt>
                <c:pt idx="100">
                  <c:v>6.0000000000000001E-3</c:v>
                </c:pt>
                <c:pt idx="101">
                  <c:v>6.0000000000000001E-3</c:v>
                </c:pt>
                <c:pt idx="102">
                  <c:v>6.0000000000000001E-3</c:v>
                </c:pt>
                <c:pt idx="103">
                  <c:v>6.0000000000000001E-3</c:v>
                </c:pt>
                <c:pt idx="104">
                  <c:v>6.0000000000000001E-3</c:v>
                </c:pt>
                <c:pt idx="105">
                  <c:v>6.0000000000000001E-3</c:v>
                </c:pt>
                <c:pt idx="106">
                  <c:v>5.8999999999999999E-3</c:v>
                </c:pt>
                <c:pt idx="107">
                  <c:v>5.7000000000000002E-3</c:v>
                </c:pt>
                <c:pt idx="108">
                  <c:v>5.5999999999999999E-3</c:v>
                </c:pt>
                <c:pt idx="109">
                  <c:v>5.5999999999999999E-3</c:v>
                </c:pt>
                <c:pt idx="110">
                  <c:v>5.3E-3</c:v>
                </c:pt>
                <c:pt idx="111">
                  <c:v>5.5999999999999999E-3</c:v>
                </c:pt>
                <c:pt idx="112">
                  <c:v>5.1999999999999998E-3</c:v>
                </c:pt>
                <c:pt idx="113">
                  <c:v>5.1000000000000004E-3</c:v>
                </c:pt>
                <c:pt idx="114">
                  <c:v>4.8999999999999998E-3</c:v>
                </c:pt>
                <c:pt idx="115">
                  <c:v>5.0000000000000001E-3</c:v>
                </c:pt>
                <c:pt idx="116">
                  <c:v>5.1000000000000004E-3</c:v>
                </c:pt>
                <c:pt idx="117">
                  <c:v>4.7999999999999996E-3</c:v>
                </c:pt>
                <c:pt idx="118">
                  <c:v>4.7999999999999996E-3</c:v>
                </c:pt>
                <c:pt idx="119">
                  <c:v>4.7000000000000002E-3</c:v>
                </c:pt>
                <c:pt idx="120">
                  <c:v>4.7000000000000002E-3</c:v>
                </c:pt>
                <c:pt idx="121">
                  <c:v>4.4999999999999997E-3</c:v>
                </c:pt>
                <c:pt idx="122">
                  <c:v>4.4999999999999997E-3</c:v>
                </c:pt>
                <c:pt idx="123">
                  <c:v>4.1999999999999997E-3</c:v>
                </c:pt>
                <c:pt idx="124">
                  <c:v>4.0000000000000001E-3</c:v>
                </c:pt>
                <c:pt idx="125">
                  <c:v>4.1000000000000003E-3</c:v>
                </c:pt>
                <c:pt idx="126">
                  <c:v>4.3E-3</c:v>
                </c:pt>
                <c:pt idx="127">
                  <c:v>3.8999999999999998E-3</c:v>
                </c:pt>
                <c:pt idx="128">
                  <c:v>3.8999999999999998E-3</c:v>
                </c:pt>
                <c:pt idx="129">
                  <c:v>3.5999999999999999E-3</c:v>
                </c:pt>
                <c:pt idx="130">
                  <c:v>3.8E-3</c:v>
                </c:pt>
                <c:pt idx="131">
                  <c:v>3.8E-3</c:v>
                </c:pt>
                <c:pt idx="132">
                  <c:v>3.8E-3</c:v>
                </c:pt>
                <c:pt idx="133">
                  <c:v>4.1000000000000003E-3</c:v>
                </c:pt>
                <c:pt idx="134">
                  <c:v>3.5999999999999999E-3</c:v>
                </c:pt>
                <c:pt idx="135">
                  <c:v>3.5999999999999999E-3</c:v>
                </c:pt>
                <c:pt idx="136">
                  <c:v>3.3E-3</c:v>
                </c:pt>
                <c:pt idx="137">
                  <c:v>3.3E-3</c:v>
                </c:pt>
                <c:pt idx="138">
                  <c:v>3.3999999999999998E-3</c:v>
                </c:pt>
                <c:pt idx="139">
                  <c:v>3.5000000000000001E-3</c:v>
                </c:pt>
                <c:pt idx="140">
                  <c:v>3.0999999999999999E-3</c:v>
                </c:pt>
                <c:pt idx="141">
                  <c:v>3.0999999999999999E-3</c:v>
                </c:pt>
                <c:pt idx="142">
                  <c:v>3.5000000000000001E-3</c:v>
                </c:pt>
                <c:pt idx="143">
                  <c:v>2.8E-3</c:v>
                </c:pt>
                <c:pt idx="144">
                  <c:v>2.8E-3</c:v>
                </c:pt>
                <c:pt idx="145">
                  <c:v>3.0999999999999999E-3</c:v>
                </c:pt>
                <c:pt idx="146">
                  <c:v>2.7000000000000001E-3</c:v>
                </c:pt>
                <c:pt idx="147">
                  <c:v>2.8999999999999998E-3</c:v>
                </c:pt>
                <c:pt idx="148">
                  <c:v>2.8999999999999998E-3</c:v>
                </c:pt>
                <c:pt idx="149">
                  <c:v>2.5000000000000001E-3</c:v>
                </c:pt>
                <c:pt idx="150">
                  <c:v>2.8999999999999998E-3</c:v>
                </c:pt>
                <c:pt idx="151">
                  <c:v>2.8E-3</c:v>
                </c:pt>
                <c:pt idx="152">
                  <c:v>2.7000000000000001E-3</c:v>
                </c:pt>
                <c:pt idx="153">
                  <c:v>2.5000000000000001E-3</c:v>
                </c:pt>
                <c:pt idx="154">
                  <c:v>2.8E-3</c:v>
                </c:pt>
                <c:pt idx="155">
                  <c:v>2.5999999999999999E-3</c:v>
                </c:pt>
                <c:pt idx="156">
                  <c:v>3.0999999999999999E-3</c:v>
                </c:pt>
                <c:pt idx="157">
                  <c:v>2.7000000000000001E-3</c:v>
                </c:pt>
                <c:pt idx="158">
                  <c:v>2.8E-3</c:v>
                </c:pt>
                <c:pt idx="159">
                  <c:v>2.8E-3</c:v>
                </c:pt>
                <c:pt idx="160">
                  <c:v>3.0999999999999999E-3</c:v>
                </c:pt>
                <c:pt idx="161">
                  <c:v>2.8E-3</c:v>
                </c:pt>
                <c:pt idx="162">
                  <c:v>2.8999999999999998E-3</c:v>
                </c:pt>
                <c:pt idx="163">
                  <c:v>3.0000000000000001E-3</c:v>
                </c:pt>
                <c:pt idx="164">
                  <c:v>2.7000000000000001E-3</c:v>
                </c:pt>
                <c:pt idx="165">
                  <c:v>2.5999999999999999E-3</c:v>
                </c:pt>
                <c:pt idx="166">
                  <c:v>2.3999999999999998E-3</c:v>
                </c:pt>
                <c:pt idx="167">
                  <c:v>2.8E-3</c:v>
                </c:pt>
                <c:pt idx="168">
                  <c:v>2.3999999999999998E-3</c:v>
                </c:pt>
                <c:pt idx="169">
                  <c:v>2.3999999999999998E-3</c:v>
                </c:pt>
                <c:pt idx="170">
                  <c:v>2.5000000000000001E-3</c:v>
                </c:pt>
                <c:pt idx="171">
                  <c:v>2.3999999999999998E-3</c:v>
                </c:pt>
                <c:pt idx="172">
                  <c:v>2.3999999999999998E-3</c:v>
                </c:pt>
                <c:pt idx="173">
                  <c:v>2.5999999999999999E-3</c:v>
                </c:pt>
                <c:pt idx="174">
                  <c:v>2.0999999999999999E-3</c:v>
                </c:pt>
                <c:pt idx="175">
                  <c:v>2.3999999999999998E-3</c:v>
                </c:pt>
                <c:pt idx="176">
                  <c:v>2.3E-3</c:v>
                </c:pt>
                <c:pt idx="177">
                  <c:v>2.5000000000000001E-3</c:v>
                </c:pt>
                <c:pt idx="178">
                  <c:v>2.3E-3</c:v>
                </c:pt>
                <c:pt idx="179">
                  <c:v>2.0999999999999999E-3</c:v>
                </c:pt>
                <c:pt idx="180">
                  <c:v>2.5000000000000001E-3</c:v>
                </c:pt>
                <c:pt idx="181">
                  <c:v>2.3999999999999998E-3</c:v>
                </c:pt>
                <c:pt idx="182">
                  <c:v>1.9E-3</c:v>
                </c:pt>
                <c:pt idx="183">
                  <c:v>2.2000000000000001E-3</c:v>
                </c:pt>
                <c:pt idx="184">
                  <c:v>2.5000000000000001E-3</c:v>
                </c:pt>
                <c:pt idx="185">
                  <c:v>2.2000000000000001E-3</c:v>
                </c:pt>
                <c:pt idx="186">
                  <c:v>1.6000000000000001E-3</c:v>
                </c:pt>
                <c:pt idx="187">
                  <c:v>2E-3</c:v>
                </c:pt>
                <c:pt idx="188">
                  <c:v>2.5999999999999999E-3</c:v>
                </c:pt>
                <c:pt idx="189">
                  <c:v>2E-3</c:v>
                </c:pt>
                <c:pt idx="190">
                  <c:v>2.0999999999999999E-3</c:v>
                </c:pt>
                <c:pt idx="191">
                  <c:v>2.2000000000000001E-3</c:v>
                </c:pt>
                <c:pt idx="192">
                  <c:v>2.3999999999999998E-3</c:v>
                </c:pt>
                <c:pt idx="193">
                  <c:v>2.5000000000000001E-3</c:v>
                </c:pt>
                <c:pt idx="194">
                  <c:v>2.3999999999999998E-3</c:v>
                </c:pt>
                <c:pt idx="195">
                  <c:v>1.9E-3</c:v>
                </c:pt>
                <c:pt idx="196">
                  <c:v>2.0999999999999999E-3</c:v>
                </c:pt>
                <c:pt idx="197">
                  <c:v>2.0999999999999999E-3</c:v>
                </c:pt>
                <c:pt idx="198">
                  <c:v>1.9E-3</c:v>
                </c:pt>
                <c:pt idx="199">
                  <c:v>2.2000000000000001E-3</c:v>
                </c:pt>
                <c:pt idx="200">
                  <c:v>1.6999999999999999E-3</c:v>
                </c:pt>
                <c:pt idx="201">
                  <c:v>2E-3</c:v>
                </c:pt>
                <c:pt idx="202">
                  <c:v>1.8E-3</c:v>
                </c:pt>
                <c:pt idx="203">
                  <c:v>1.9E-3</c:v>
                </c:pt>
                <c:pt idx="204">
                  <c:v>2E-3</c:v>
                </c:pt>
                <c:pt idx="205">
                  <c:v>1.6000000000000001E-3</c:v>
                </c:pt>
                <c:pt idx="206">
                  <c:v>1.8E-3</c:v>
                </c:pt>
                <c:pt idx="207">
                  <c:v>1.9E-3</c:v>
                </c:pt>
                <c:pt idx="208">
                  <c:v>2.2000000000000001E-3</c:v>
                </c:pt>
                <c:pt idx="209">
                  <c:v>2.0999999999999999E-3</c:v>
                </c:pt>
                <c:pt idx="210">
                  <c:v>1.8E-3</c:v>
                </c:pt>
                <c:pt idx="211">
                  <c:v>2.2000000000000001E-3</c:v>
                </c:pt>
                <c:pt idx="212">
                  <c:v>1.9E-3</c:v>
                </c:pt>
                <c:pt idx="213">
                  <c:v>1.8E-3</c:v>
                </c:pt>
                <c:pt idx="214">
                  <c:v>1.9E-3</c:v>
                </c:pt>
                <c:pt idx="215">
                  <c:v>1.8E-3</c:v>
                </c:pt>
                <c:pt idx="216">
                  <c:v>1.8E-3</c:v>
                </c:pt>
                <c:pt idx="217">
                  <c:v>1.6999999999999999E-3</c:v>
                </c:pt>
                <c:pt idx="218">
                  <c:v>2.2000000000000001E-3</c:v>
                </c:pt>
                <c:pt idx="219">
                  <c:v>2E-3</c:v>
                </c:pt>
                <c:pt idx="220">
                  <c:v>2E-3</c:v>
                </c:pt>
                <c:pt idx="221">
                  <c:v>1.9E-3</c:v>
                </c:pt>
                <c:pt idx="222">
                  <c:v>1.9E-3</c:v>
                </c:pt>
                <c:pt idx="223">
                  <c:v>1.9E-3</c:v>
                </c:pt>
                <c:pt idx="224">
                  <c:v>2E-3</c:v>
                </c:pt>
                <c:pt idx="225">
                  <c:v>1.9E-3</c:v>
                </c:pt>
                <c:pt idx="226">
                  <c:v>2.0999999999999999E-3</c:v>
                </c:pt>
                <c:pt idx="227">
                  <c:v>1.8E-3</c:v>
                </c:pt>
                <c:pt idx="228">
                  <c:v>1.6999999999999999E-3</c:v>
                </c:pt>
                <c:pt idx="229">
                  <c:v>1.9E-3</c:v>
                </c:pt>
                <c:pt idx="230">
                  <c:v>1.6000000000000001E-3</c:v>
                </c:pt>
                <c:pt idx="231">
                  <c:v>1.9E-3</c:v>
                </c:pt>
                <c:pt idx="232">
                  <c:v>1.8E-3</c:v>
                </c:pt>
                <c:pt idx="233">
                  <c:v>1.8E-3</c:v>
                </c:pt>
                <c:pt idx="234">
                  <c:v>1.6999999999999999E-3</c:v>
                </c:pt>
                <c:pt idx="235">
                  <c:v>1.9E-3</c:v>
                </c:pt>
                <c:pt idx="236">
                  <c:v>1.8E-3</c:v>
                </c:pt>
                <c:pt idx="237">
                  <c:v>1.8E-3</c:v>
                </c:pt>
                <c:pt idx="238">
                  <c:v>1.6000000000000001E-3</c:v>
                </c:pt>
                <c:pt idx="239">
                  <c:v>1.9E-3</c:v>
                </c:pt>
                <c:pt idx="240">
                  <c:v>2E-3</c:v>
                </c:pt>
                <c:pt idx="241">
                  <c:v>1.6999999999999999E-3</c:v>
                </c:pt>
                <c:pt idx="242">
                  <c:v>2.0999999999999999E-3</c:v>
                </c:pt>
                <c:pt idx="243">
                  <c:v>1.8E-3</c:v>
                </c:pt>
                <c:pt idx="244">
                  <c:v>1.6999999999999999E-3</c:v>
                </c:pt>
                <c:pt idx="245">
                  <c:v>2E-3</c:v>
                </c:pt>
                <c:pt idx="246">
                  <c:v>2.0999999999999999E-3</c:v>
                </c:pt>
                <c:pt idx="247">
                  <c:v>1.9E-3</c:v>
                </c:pt>
                <c:pt idx="248">
                  <c:v>2E-3</c:v>
                </c:pt>
                <c:pt idx="249">
                  <c:v>2E-3</c:v>
                </c:pt>
                <c:pt idx="250">
                  <c:v>1.9E-3</c:v>
                </c:pt>
                <c:pt idx="251">
                  <c:v>1.6000000000000001E-3</c:v>
                </c:pt>
                <c:pt idx="252">
                  <c:v>1.6999999999999999E-3</c:v>
                </c:pt>
                <c:pt idx="253">
                  <c:v>1.5E-3</c:v>
                </c:pt>
                <c:pt idx="254">
                  <c:v>1.6000000000000001E-3</c:v>
                </c:pt>
                <c:pt idx="255">
                  <c:v>1.6000000000000001E-3</c:v>
                </c:pt>
                <c:pt idx="256">
                  <c:v>1.6000000000000001E-3</c:v>
                </c:pt>
                <c:pt idx="257">
                  <c:v>1.5E-3</c:v>
                </c:pt>
                <c:pt idx="258">
                  <c:v>1.6999999999999999E-3</c:v>
                </c:pt>
                <c:pt idx="259">
                  <c:v>1.4E-3</c:v>
                </c:pt>
                <c:pt idx="260">
                  <c:v>1.5E-3</c:v>
                </c:pt>
                <c:pt idx="261">
                  <c:v>1.4E-3</c:v>
                </c:pt>
                <c:pt idx="262">
                  <c:v>1.5E-3</c:v>
                </c:pt>
                <c:pt idx="263">
                  <c:v>1.4E-3</c:v>
                </c:pt>
                <c:pt idx="264">
                  <c:v>1.5E-3</c:v>
                </c:pt>
                <c:pt idx="265">
                  <c:v>1.5E-3</c:v>
                </c:pt>
                <c:pt idx="266">
                  <c:v>1.6000000000000001E-3</c:v>
                </c:pt>
                <c:pt idx="267">
                  <c:v>1.6000000000000001E-3</c:v>
                </c:pt>
                <c:pt idx="268">
                  <c:v>1.6000000000000001E-3</c:v>
                </c:pt>
                <c:pt idx="269">
                  <c:v>1.6000000000000001E-3</c:v>
                </c:pt>
                <c:pt idx="270">
                  <c:v>1.6000000000000001E-3</c:v>
                </c:pt>
                <c:pt idx="271">
                  <c:v>1.5E-3</c:v>
                </c:pt>
                <c:pt idx="272">
                  <c:v>1.6999999999999999E-3</c:v>
                </c:pt>
                <c:pt idx="273">
                  <c:v>1.6000000000000001E-3</c:v>
                </c:pt>
                <c:pt idx="274">
                  <c:v>1.5E-3</c:v>
                </c:pt>
                <c:pt idx="275">
                  <c:v>1.6000000000000001E-3</c:v>
                </c:pt>
                <c:pt idx="276">
                  <c:v>1.8E-3</c:v>
                </c:pt>
                <c:pt idx="277">
                  <c:v>1.6000000000000001E-3</c:v>
                </c:pt>
                <c:pt idx="278">
                  <c:v>1.4E-3</c:v>
                </c:pt>
                <c:pt idx="279">
                  <c:v>1.5E-3</c:v>
                </c:pt>
                <c:pt idx="280">
                  <c:v>1.4E-3</c:v>
                </c:pt>
                <c:pt idx="281">
                  <c:v>1.2999999999999999E-3</c:v>
                </c:pt>
                <c:pt idx="282">
                  <c:v>1.6999999999999999E-3</c:v>
                </c:pt>
                <c:pt idx="283">
                  <c:v>1.1999999999999999E-3</c:v>
                </c:pt>
                <c:pt idx="284">
                  <c:v>1.4E-3</c:v>
                </c:pt>
                <c:pt idx="285">
                  <c:v>1.1000000000000001E-3</c:v>
                </c:pt>
                <c:pt idx="286">
                  <c:v>1.6000000000000001E-3</c:v>
                </c:pt>
                <c:pt idx="287">
                  <c:v>1.1999999999999999E-3</c:v>
                </c:pt>
                <c:pt idx="288">
                  <c:v>1.2999999999999999E-3</c:v>
                </c:pt>
                <c:pt idx="289">
                  <c:v>1.1999999999999999E-3</c:v>
                </c:pt>
                <c:pt idx="290">
                  <c:v>1.1000000000000001E-3</c:v>
                </c:pt>
                <c:pt idx="291">
                  <c:v>1.2999999999999999E-3</c:v>
                </c:pt>
                <c:pt idx="292">
                  <c:v>8.0000000000000004E-4</c:v>
                </c:pt>
                <c:pt idx="293">
                  <c:v>1E-3</c:v>
                </c:pt>
                <c:pt idx="294">
                  <c:v>8.9999999999999998E-4</c:v>
                </c:pt>
                <c:pt idx="295">
                  <c:v>8.9999999999999998E-4</c:v>
                </c:pt>
                <c:pt idx="296">
                  <c:v>8.0000000000000004E-4</c:v>
                </c:pt>
                <c:pt idx="297">
                  <c:v>8.0000000000000004E-4</c:v>
                </c:pt>
                <c:pt idx="298">
                  <c:v>8.0000000000000004E-4</c:v>
                </c:pt>
                <c:pt idx="299">
                  <c:v>8.0000000000000004E-4</c:v>
                </c:pt>
                <c:pt idx="300">
                  <c:v>1E-3</c:v>
                </c:pt>
                <c:pt idx="301">
                  <c:v>8.0000000000000004E-4</c:v>
                </c:pt>
                <c:pt idx="302">
                  <c:v>6.9999999999999999E-4</c:v>
                </c:pt>
                <c:pt idx="303">
                  <c:v>8.0000000000000004E-4</c:v>
                </c:pt>
                <c:pt idx="304">
                  <c:v>6.9999999999999999E-4</c:v>
                </c:pt>
                <c:pt idx="305">
                  <c:v>1.1000000000000001E-3</c:v>
                </c:pt>
                <c:pt idx="306">
                  <c:v>2.0000000000000001E-4</c:v>
                </c:pt>
                <c:pt idx="307">
                  <c:v>5.9999999999999995E-4</c:v>
                </c:pt>
                <c:pt idx="308">
                  <c:v>6.9999999999999999E-4</c:v>
                </c:pt>
                <c:pt idx="309">
                  <c:v>1E-3</c:v>
                </c:pt>
                <c:pt idx="310">
                  <c:v>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C-453E-AF66-FFFF8759E661}"/>
            </c:ext>
          </c:extLst>
        </c:ser>
        <c:ser>
          <c:idx val="1"/>
          <c:order val="1"/>
          <c:tx>
            <c:v>Abs baseline corrected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blank!$K$9:$K$319</c:f>
              <c:numCache>
                <c:formatCode>General</c:formatCode>
                <c:ptCount val="311"/>
                <c:pt idx="0">
                  <c:v>2.0335246753246756</c:v>
                </c:pt>
                <c:pt idx="1">
                  <c:v>2.1703997402597404</c:v>
                </c:pt>
                <c:pt idx="2">
                  <c:v>2.3309748051948054</c:v>
                </c:pt>
                <c:pt idx="3">
                  <c:v>2.46464987012987</c:v>
                </c:pt>
                <c:pt idx="4">
                  <c:v>2.5188249350649352</c:v>
                </c:pt>
                <c:pt idx="5">
                  <c:v>2.5501</c:v>
                </c:pt>
                <c:pt idx="6">
                  <c:v>2.595775064935065</c:v>
                </c:pt>
                <c:pt idx="7">
                  <c:v>2.6493501298701299</c:v>
                </c:pt>
                <c:pt idx="8">
                  <c:v>2.6962251948051947</c:v>
                </c:pt>
                <c:pt idx="9">
                  <c:v>2.66100025974026</c:v>
                </c:pt>
                <c:pt idx="10">
                  <c:v>2.5952753246753244</c:v>
                </c:pt>
                <c:pt idx="11">
                  <c:v>2.5871503896103896</c:v>
                </c:pt>
                <c:pt idx="12">
                  <c:v>2.6200254545454542</c:v>
                </c:pt>
                <c:pt idx="13">
                  <c:v>2.6513005194805195</c:v>
                </c:pt>
                <c:pt idx="14">
                  <c:v>2.6578755844155841</c:v>
                </c:pt>
                <c:pt idx="15">
                  <c:v>2.6506506493506494</c:v>
                </c:pt>
                <c:pt idx="16">
                  <c:v>2.6261257142857146</c:v>
                </c:pt>
                <c:pt idx="17">
                  <c:v>2.5495007792207791</c:v>
                </c:pt>
                <c:pt idx="18">
                  <c:v>2.3513758441558443</c:v>
                </c:pt>
                <c:pt idx="19">
                  <c:v>2.1050509090909091</c:v>
                </c:pt>
                <c:pt idx="20">
                  <c:v>1.8020259740259741</c:v>
                </c:pt>
                <c:pt idx="21">
                  <c:v>1.4906010389610389</c:v>
                </c:pt>
                <c:pt idx="22">
                  <c:v>1.2326761038961038</c:v>
                </c:pt>
                <c:pt idx="23">
                  <c:v>0.9803511688311688</c:v>
                </c:pt>
                <c:pt idx="24">
                  <c:v>0.78682623376623373</c:v>
                </c:pt>
                <c:pt idx="25">
                  <c:v>0.62960129870129877</c:v>
                </c:pt>
                <c:pt idx="26">
                  <c:v>0.51137636363636363</c:v>
                </c:pt>
                <c:pt idx="27">
                  <c:v>0.41475142857142855</c:v>
                </c:pt>
                <c:pt idx="28">
                  <c:v>0.3355264935064935</c:v>
                </c:pt>
                <c:pt idx="29">
                  <c:v>0.27230155844155846</c:v>
                </c:pt>
                <c:pt idx="30">
                  <c:v>0.22267662337662336</c:v>
                </c:pt>
                <c:pt idx="31">
                  <c:v>0.1833516883116883</c:v>
                </c:pt>
                <c:pt idx="32">
                  <c:v>0.15212675324675323</c:v>
                </c:pt>
                <c:pt idx="33">
                  <c:v>0.12790181818181817</c:v>
                </c:pt>
                <c:pt idx="34">
                  <c:v>0.10507688311688312</c:v>
                </c:pt>
                <c:pt idx="35">
                  <c:v>8.5451948051948057E-2</c:v>
                </c:pt>
                <c:pt idx="36">
                  <c:v>7.0127012987012988E-2</c:v>
                </c:pt>
                <c:pt idx="37">
                  <c:v>5.7302077922077921E-2</c:v>
                </c:pt>
                <c:pt idx="38">
                  <c:v>4.6577142857142852E-2</c:v>
                </c:pt>
                <c:pt idx="39">
                  <c:v>3.9552207792207784E-2</c:v>
                </c:pt>
                <c:pt idx="40">
                  <c:v>3.3727272727272724E-2</c:v>
                </c:pt>
                <c:pt idx="41">
                  <c:v>2.670233766233767E-2</c:v>
                </c:pt>
                <c:pt idx="42">
                  <c:v>2.1477402597402599E-2</c:v>
                </c:pt>
                <c:pt idx="43">
                  <c:v>1.6552467532467537E-2</c:v>
                </c:pt>
                <c:pt idx="44">
                  <c:v>1.3227532467532468E-2</c:v>
                </c:pt>
                <c:pt idx="45">
                  <c:v>1.0602597402597402E-2</c:v>
                </c:pt>
                <c:pt idx="46">
                  <c:v>7.9776623376623355E-3</c:v>
                </c:pt>
                <c:pt idx="47">
                  <c:v>6.0527272727272687E-3</c:v>
                </c:pt>
                <c:pt idx="48">
                  <c:v>4.2277922077922046E-3</c:v>
                </c:pt>
                <c:pt idx="49">
                  <c:v>2.8028571428571382E-3</c:v>
                </c:pt>
                <c:pt idx="50">
                  <c:v>1.7779220779220711E-3</c:v>
                </c:pt>
                <c:pt idx="51">
                  <c:v>9.5298701298701834E-4</c:v>
                </c:pt>
                <c:pt idx="52">
                  <c:v>4.2805194805195339E-4</c:v>
                </c:pt>
                <c:pt idx="53">
                  <c:v>3.1168831168860989E-6</c:v>
                </c:pt>
                <c:pt idx="54">
                  <c:v>-2.2181818181818067E-4</c:v>
                </c:pt>
                <c:pt idx="55">
                  <c:v>-6.4675324675324622E-4</c:v>
                </c:pt>
                <c:pt idx="56">
                  <c:v>-8.7168831168831298E-4</c:v>
                </c:pt>
                <c:pt idx="57">
                  <c:v>-6.966233766233787E-4</c:v>
                </c:pt>
                <c:pt idx="58">
                  <c:v>-6.2155844155844554E-4</c:v>
                </c:pt>
                <c:pt idx="59">
                  <c:v>-7.4649350649351118E-4</c:v>
                </c:pt>
                <c:pt idx="60">
                  <c:v>-5.7142857142857863E-4</c:v>
                </c:pt>
                <c:pt idx="61">
                  <c:v>-5.9636363636363099E-4</c:v>
                </c:pt>
                <c:pt idx="62">
                  <c:v>-3.2129870129869731E-4</c:v>
                </c:pt>
                <c:pt idx="63">
                  <c:v>-1.4623376623376302E-4</c:v>
                </c:pt>
                <c:pt idx="64">
                  <c:v>2.8831168831171261E-5</c:v>
                </c:pt>
                <c:pt idx="65">
                  <c:v>1.0389610389610442E-4</c:v>
                </c:pt>
                <c:pt idx="66">
                  <c:v>7.8961038961038177E-5</c:v>
                </c:pt>
                <c:pt idx="67">
                  <c:v>4.5402597402597125E-4</c:v>
                </c:pt>
                <c:pt idx="68">
                  <c:v>3.2909090909090562E-4</c:v>
                </c:pt>
                <c:pt idx="69">
                  <c:v>4.0415584415583877E-4</c:v>
                </c:pt>
                <c:pt idx="70">
                  <c:v>8.7922077922077298E-4</c:v>
                </c:pt>
                <c:pt idx="71">
                  <c:v>1.0542857142857064E-3</c:v>
                </c:pt>
                <c:pt idx="72">
                  <c:v>1.2293506493506537E-3</c:v>
                </c:pt>
                <c:pt idx="73">
                  <c:v>1.404415584415588E-3</c:v>
                </c:pt>
                <c:pt idx="74">
                  <c:v>1.6794805194805217E-3</c:v>
                </c:pt>
                <c:pt idx="75">
                  <c:v>1.7545454545454548E-3</c:v>
                </c:pt>
                <c:pt idx="76">
                  <c:v>1.8296103896103888E-3</c:v>
                </c:pt>
                <c:pt idx="77">
                  <c:v>2.2046753246753228E-3</c:v>
                </c:pt>
                <c:pt idx="78">
                  <c:v>2.3797402597402562E-3</c:v>
                </c:pt>
                <c:pt idx="79">
                  <c:v>2.6548051948051899E-3</c:v>
                </c:pt>
                <c:pt idx="80">
                  <c:v>2.9298701298701236E-3</c:v>
                </c:pt>
                <c:pt idx="81">
                  <c:v>2.9049350649350573E-3</c:v>
                </c:pt>
                <c:pt idx="82">
                  <c:v>3.5800000000000051E-3</c:v>
                </c:pt>
                <c:pt idx="83">
                  <c:v>3.5550649350649379E-3</c:v>
                </c:pt>
                <c:pt idx="84">
                  <c:v>3.8301298701298716E-3</c:v>
                </c:pt>
                <c:pt idx="85">
                  <c:v>4.0051948051948059E-3</c:v>
                </c:pt>
                <c:pt idx="86">
                  <c:v>4.0802597402597391E-3</c:v>
                </c:pt>
                <c:pt idx="87">
                  <c:v>4.3553246753246727E-3</c:v>
                </c:pt>
                <c:pt idx="88">
                  <c:v>4.830389610389607E-3</c:v>
                </c:pt>
                <c:pt idx="89">
                  <c:v>5.3054545454545403E-3</c:v>
                </c:pt>
                <c:pt idx="90">
                  <c:v>5.1805194805194738E-3</c:v>
                </c:pt>
                <c:pt idx="91">
                  <c:v>5.655584415584408E-3</c:v>
                </c:pt>
                <c:pt idx="92">
                  <c:v>5.8306493506493553E-3</c:v>
                </c:pt>
                <c:pt idx="93">
                  <c:v>5.805714285714289E-3</c:v>
                </c:pt>
                <c:pt idx="94">
                  <c:v>6.3807792207792226E-3</c:v>
                </c:pt>
                <c:pt idx="95">
                  <c:v>6.1558441558441567E-3</c:v>
                </c:pt>
                <c:pt idx="96">
                  <c:v>6.8309090909090897E-3</c:v>
                </c:pt>
                <c:pt idx="97">
                  <c:v>6.8059740259740235E-3</c:v>
                </c:pt>
                <c:pt idx="98">
                  <c:v>7.3810389610389571E-3</c:v>
                </c:pt>
                <c:pt idx="99">
                  <c:v>7.3561038961038909E-3</c:v>
                </c:pt>
                <c:pt idx="100">
                  <c:v>7.4311688311688249E-3</c:v>
                </c:pt>
                <c:pt idx="101">
                  <c:v>7.7062337662337586E-3</c:v>
                </c:pt>
                <c:pt idx="102">
                  <c:v>7.9812987012987061E-3</c:v>
                </c:pt>
                <c:pt idx="103">
                  <c:v>8.2563636363636398E-3</c:v>
                </c:pt>
                <c:pt idx="104">
                  <c:v>8.5314285714285735E-3</c:v>
                </c:pt>
                <c:pt idx="105">
                  <c:v>8.8064935064935072E-3</c:v>
                </c:pt>
                <c:pt idx="106">
                  <c:v>8.9815584415584397E-3</c:v>
                </c:pt>
                <c:pt idx="107">
                  <c:v>9.0566233766233746E-3</c:v>
                </c:pt>
                <c:pt idx="108">
                  <c:v>9.2316883116883089E-3</c:v>
                </c:pt>
                <c:pt idx="109">
                  <c:v>9.5067532467532426E-3</c:v>
                </c:pt>
                <c:pt idx="110">
                  <c:v>9.4818181818181746E-3</c:v>
                </c:pt>
                <c:pt idx="111">
                  <c:v>1.005688311688311E-2</c:v>
                </c:pt>
                <c:pt idx="112">
                  <c:v>9.9319480519480426E-3</c:v>
                </c:pt>
                <c:pt idx="113">
                  <c:v>1.0107012987012991E-2</c:v>
                </c:pt>
                <c:pt idx="114">
                  <c:v>1.0182077922077924E-2</c:v>
                </c:pt>
                <c:pt idx="115">
                  <c:v>1.0557142857142859E-2</c:v>
                </c:pt>
                <c:pt idx="116">
                  <c:v>1.0932207792207792E-2</c:v>
                </c:pt>
                <c:pt idx="117">
                  <c:v>1.0907272727272724E-2</c:v>
                </c:pt>
                <c:pt idx="118">
                  <c:v>1.1182337662337657E-2</c:v>
                </c:pt>
                <c:pt idx="119">
                  <c:v>1.1357402597402592E-2</c:v>
                </c:pt>
                <c:pt idx="120">
                  <c:v>1.1632467532467525E-2</c:v>
                </c:pt>
                <c:pt idx="121">
                  <c:v>1.170753246753246E-2</c:v>
                </c:pt>
                <c:pt idx="122">
                  <c:v>1.1982597402597394E-2</c:v>
                </c:pt>
                <c:pt idx="123">
                  <c:v>1.195766233766234E-2</c:v>
                </c:pt>
                <c:pt idx="124">
                  <c:v>1.2032727272727275E-2</c:v>
                </c:pt>
                <c:pt idx="125">
                  <c:v>1.2407792207792208E-2</c:v>
                </c:pt>
                <c:pt idx="126">
                  <c:v>1.2882857142857142E-2</c:v>
                </c:pt>
                <c:pt idx="127">
                  <c:v>1.2757922077922076E-2</c:v>
                </c:pt>
                <c:pt idx="128">
                  <c:v>1.303298701298701E-2</c:v>
                </c:pt>
                <c:pt idx="129">
                  <c:v>1.3008051948051942E-2</c:v>
                </c:pt>
                <c:pt idx="130">
                  <c:v>1.3483116883116876E-2</c:v>
                </c:pt>
                <c:pt idx="131">
                  <c:v>1.375818181818181E-2</c:v>
                </c:pt>
                <c:pt idx="132">
                  <c:v>1.4033246753246744E-2</c:v>
                </c:pt>
                <c:pt idx="133">
                  <c:v>1.4608311688311691E-2</c:v>
                </c:pt>
                <c:pt idx="134">
                  <c:v>1.4383376623376624E-2</c:v>
                </c:pt>
                <c:pt idx="135">
                  <c:v>1.4658441558441558E-2</c:v>
                </c:pt>
                <c:pt idx="136">
                  <c:v>1.4633506493506494E-2</c:v>
                </c:pt>
                <c:pt idx="137">
                  <c:v>1.4908571428571427E-2</c:v>
                </c:pt>
                <c:pt idx="138">
                  <c:v>1.528363636363636E-2</c:v>
                </c:pt>
                <c:pt idx="139">
                  <c:v>1.5658701298701293E-2</c:v>
                </c:pt>
                <c:pt idx="140">
                  <c:v>1.5533766233766228E-2</c:v>
                </c:pt>
                <c:pt idx="141">
                  <c:v>1.580883116883116E-2</c:v>
                </c:pt>
                <c:pt idx="142">
                  <c:v>1.6483896103896094E-2</c:v>
                </c:pt>
                <c:pt idx="143">
                  <c:v>1.6058961038961043E-2</c:v>
                </c:pt>
                <c:pt idx="144">
                  <c:v>1.6334025974025976E-2</c:v>
                </c:pt>
                <c:pt idx="145">
                  <c:v>1.6909090909090908E-2</c:v>
                </c:pt>
                <c:pt idx="146">
                  <c:v>1.6784155844155844E-2</c:v>
                </c:pt>
                <c:pt idx="147">
                  <c:v>1.7259220779220777E-2</c:v>
                </c:pt>
                <c:pt idx="148">
                  <c:v>1.7534285714285711E-2</c:v>
                </c:pt>
                <c:pt idx="149">
                  <c:v>1.7409350649350643E-2</c:v>
                </c:pt>
                <c:pt idx="150">
                  <c:v>1.8084415584415578E-2</c:v>
                </c:pt>
                <c:pt idx="151">
                  <c:v>1.8259480519480512E-2</c:v>
                </c:pt>
                <c:pt idx="152">
                  <c:v>1.8434545454545447E-2</c:v>
                </c:pt>
                <c:pt idx="153">
                  <c:v>1.8509610389610378E-2</c:v>
                </c:pt>
                <c:pt idx="154">
                  <c:v>1.9084675324675327E-2</c:v>
                </c:pt>
                <c:pt idx="155">
                  <c:v>1.9159740259740259E-2</c:v>
                </c:pt>
                <c:pt idx="156">
                  <c:v>1.9934805194805193E-2</c:v>
                </c:pt>
                <c:pt idx="157">
                  <c:v>1.9809870129870129E-2</c:v>
                </c:pt>
                <c:pt idx="158">
                  <c:v>2.0184935064935062E-2</c:v>
                </c:pt>
                <c:pt idx="159">
                  <c:v>2.0459999999999996E-2</c:v>
                </c:pt>
                <c:pt idx="160">
                  <c:v>2.1035064935064927E-2</c:v>
                </c:pt>
                <c:pt idx="161">
                  <c:v>2.1010129870129863E-2</c:v>
                </c:pt>
                <c:pt idx="162">
                  <c:v>2.1385194805194796E-2</c:v>
                </c:pt>
                <c:pt idx="163">
                  <c:v>2.1760259740259729E-2</c:v>
                </c:pt>
                <c:pt idx="164">
                  <c:v>2.1735324675324678E-2</c:v>
                </c:pt>
                <c:pt idx="165">
                  <c:v>2.1910389610389609E-2</c:v>
                </c:pt>
                <c:pt idx="166">
                  <c:v>2.1985454545454544E-2</c:v>
                </c:pt>
                <c:pt idx="167">
                  <c:v>2.2660519480519479E-2</c:v>
                </c:pt>
                <c:pt idx="168">
                  <c:v>2.2535584415584411E-2</c:v>
                </c:pt>
                <c:pt idx="169">
                  <c:v>2.2810649350649345E-2</c:v>
                </c:pt>
                <c:pt idx="170">
                  <c:v>2.3185714285714278E-2</c:v>
                </c:pt>
                <c:pt idx="171">
                  <c:v>2.3360779220779213E-2</c:v>
                </c:pt>
                <c:pt idx="172">
                  <c:v>2.3635844155844146E-2</c:v>
                </c:pt>
                <c:pt idx="173">
                  <c:v>2.4110909090909079E-2</c:v>
                </c:pt>
                <c:pt idx="174">
                  <c:v>2.3885974025974029E-2</c:v>
                </c:pt>
                <c:pt idx="175">
                  <c:v>2.4461038961038961E-2</c:v>
                </c:pt>
                <c:pt idx="176">
                  <c:v>2.4636103896103895E-2</c:v>
                </c:pt>
                <c:pt idx="177">
                  <c:v>2.5111168831168828E-2</c:v>
                </c:pt>
                <c:pt idx="178">
                  <c:v>2.5186233766233763E-2</c:v>
                </c:pt>
                <c:pt idx="179">
                  <c:v>2.5261298701298698E-2</c:v>
                </c:pt>
                <c:pt idx="180">
                  <c:v>2.5936363636363629E-2</c:v>
                </c:pt>
                <c:pt idx="181">
                  <c:v>2.6111428571428563E-2</c:v>
                </c:pt>
                <c:pt idx="182">
                  <c:v>2.5886493506493496E-2</c:v>
                </c:pt>
                <c:pt idx="183">
                  <c:v>2.6461558441558432E-2</c:v>
                </c:pt>
                <c:pt idx="184">
                  <c:v>2.7036623376623378E-2</c:v>
                </c:pt>
                <c:pt idx="185">
                  <c:v>2.7011688311688313E-2</c:v>
                </c:pt>
                <c:pt idx="186">
                  <c:v>2.6686753246753247E-2</c:v>
                </c:pt>
                <c:pt idx="187">
                  <c:v>2.7361818181818182E-2</c:v>
                </c:pt>
                <c:pt idx="188">
                  <c:v>2.8236883116883112E-2</c:v>
                </c:pt>
                <c:pt idx="189">
                  <c:v>2.7911948051948049E-2</c:v>
                </c:pt>
                <c:pt idx="190">
                  <c:v>2.8287012987012982E-2</c:v>
                </c:pt>
                <c:pt idx="191">
                  <c:v>2.8662077922077915E-2</c:v>
                </c:pt>
                <c:pt idx="192">
                  <c:v>2.9137142857142848E-2</c:v>
                </c:pt>
                <c:pt idx="193">
                  <c:v>2.9512207792207781E-2</c:v>
                </c:pt>
                <c:pt idx="194">
                  <c:v>2.9687272727272729E-2</c:v>
                </c:pt>
                <c:pt idx="195">
                  <c:v>2.9462337662337662E-2</c:v>
                </c:pt>
                <c:pt idx="196">
                  <c:v>2.9937402597402598E-2</c:v>
                </c:pt>
                <c:pt idx="197">
                  <c:v>3.0212467532467532E-2</c:v>
                </c:pt>
                <c:pt idx="198">
                  <c:v>3.0287532467532463E-2</c:v>
                </c:pt>
                <c:pt idx="199">
                  <c:v>3.0862597402597398E-2</c:v>
                </c:pt>
                <c:pt idx="200">
                  <c:v>3.0637662337662332E-2</c:v>
                </c:pt>
                <c:pt idx="201">
                  <c:v>3.1212727272727267E-2</c:v>
                </c:pt>
                <c:pt idx="202">
                  <c:v>3.1287792207792202E-2</c:v>
                </c:pt>
                <c:pt idx="203">
                  <c:v>3.1662857142857131E-2</c:v>
                </c:pt>
                <c:pt idx="204">
                  <c:v>3.2037922077922068E-2</c:v>
                </c:pt>
                <c:pt idx="205">
                  <c:v>3.1912987012987011E-2</c:v>
                </c:pt>
                <c:pt idx="206">
                  <c:v>3.238805194805195E-2</c:v>
                </c:pt>
                <c:pt idx="207">
                  <c:v>3.276311688311688E-2</c:v>
                </c:pt>
                <c:pt idx="208">
                  <c:v>3.3338181818181815E-2</c:v>
                </c:pt>
                <c:pt idx="209">
                  <c:v>3.3513246753246746E-2</c:v>
                </c:pt>
                <c:pt idx="210">
                  <c:v>3.3488311688311685E-2</c:v>
                </c:pt>
                <c:pt idx="211">
                  <c:v>3.4163376623376616E-2</c:v>
                </c:pt>
                <c:pt idx="212">
                  <c:v>3.4138441558441548E-2</c:v>
                </c:pt>
                <c:pt idx="213">
                  <c:v>3.4313506493506486E-2</c:v>
                </c:pt>
                <c:pt idx="214">
                  <c:v>3.4688571428571416E-2</c:v>
                </c:pt>
                <c:pt idx="215">
                  <c:v>3.4863636363636367E-2</c:v>
                </c:pt>
                <c:pt idx="216">
                  <c:v>3.5138701298701301E-2</c:v>
                </c:pt>
                <c:pt idx="217">
                  <c:v>3.5313766233766232E-2</c:v>
                </c:pt>
                <c:pt idx="218">
                  <c:v>3.6088831168831166E-2</c:v>
                </c:pt>
                <c:pt idx="219">
                  <c:v>3.6163896103896101E-2</c:v>
                </c:pt>
                <c:pt idx="220">
                  <c:v>3.6438961038961035E-2</c:v>
                </c:pt>
                <c:pt idx="221">
                  <c:v>3.6614025974025965E-2</c:v>
                </c:pt>
                <c:pt idx="222">
                  <c:v>3.6889090909090899E-2</c:v>
                </c:pt>
                <c:pt idx="223">
                  <c:v>3.7164155844155833E-2</c:v>
                </c:pt>
                <c:pt idx="224">
                  <c:v>3.7539220779220769E-2</c:v>
                </c:pt>
                <c:pt idx="225">
                  <c:v>3.7714285714285714E-2</c:v>
                </c:pt>
                <c:pt idx="226">
                  <c:v>3.8189350649350647E-2</c:v>
                </c:pt>
                <c:pt idx="227">
                  <c:v>3.8164415584415586E-2</c:v>
                </c:pt>
                <c:pt idx="228">
                  <c:v>3.8339480519480516E-2</c:v>
                </c:pt>
                <c:pt idx="229">
                  <c:v>3.8814545454545449E-2</c:v>
                </c:pt>
                <c:pt idx="230">
                  <c:v>3.8789610389610381E-2</c:v>
                </c:pt>
                <c:pt idx="231">
                  <c:v>3.9364675324675316E-2</c:v>
                </c:pt>
                <c:pt idx="232">
                  <c:v>3.9539740259740254E-2</c:v>
                </c:pt>
                <c:pt idx="233">
                  <c:v>3.9814805194805188E-2</c:v>
                </c:pt>
                <c:pt idx="234">
                  <c:v>3.9989870129870118E-2</c:v>
                </c:pt>
                <c:pt idx="235">
                  <c:v>4.0464935064935065E-2</c:v>
                </c:pt>
                <c:pt idx="236">
                  <c:v>4.0640000000000003E-2</c:v>
                </c:pt>
                <c:pt idx="237">
                  <c:v>4.0915064935064936E-2</c:v>
                </c:pt>
                <c:pt idx="238">
                  <c:v>4.0990129870129864E-2</c:v>
                </c:pt>
                <c:pt idx="239">
                  <c:v>4.1565194805194799E-2</c:v>
                </c:pt>
                <c:pt idx="240">
                  <c:v>4.1940259740259736E-2</c:v>
                </c:pt>
                <c:pt idx="241">
                  <c:v>4.1915324675324668E-2</c:v>
                </c:pt>
                <c:pt idx="242">
                  <c:v>4.2590389610389599E-2</c:v>
                </c:pt>
                <c:pt idx="243">
                  <c:v>4.2565454545454538E-2</c:v>
                </c:pt>
                <c:pt idx="244">
                  <c:v>4.2740519480519469E-2</c:v>
                </c:pt>
                <c:pt idx="245">
                  <c:v>4.3315584415584404E-2</c:v>
                </c:pt>
                <c:pt idx="246">
                  <c:v>4.3690649350649348E-2</c:v>
                </c:pt>
                <c:pt idx="247">
                  <c:v>4.3765714285714283E-2</c:v>
                </c:pt>
                <c:pt idx="248">
                  <c:v>4.4140779220779219E-2</c:v>
                </c:pt>
                <c:pt idx="249">
                  <c:v>4.4415844155844153E-2</c:v>
                </c:pt>
                <c:pt idx="250">
                  <c:v>4.4590909090909084E-2</c:v>
                </c:pt>
                <c:pt idx="251">
                  <c:v>4.4565974025974016E-2</c:v>
                </c:pt>
                <c:pt idx="252">
                  <c:v>4.4941038961038952E-2</c:v>
                </c:pt>
                <c:pt idx="253">
                  <c:v>4.5016103896103887E-2</c:v>
                </c:pt>
                <c:pt idx="254">
                  <c:v>4.5391168831168817E-2</c:v>
                </c:pt>
                <c:pt idx="255">
                  <c:v>4.5666233766233751E-2</c:v>
                </c:pt>
                <c:pt idx="256">
                  <c:v>4.5941298701298698E-2</c:v>
                </c:pt>
                <c:pt idx="257">
                  <c:v>4.6116363636363636E-2</c:v>
                </c:pt>
                <c:pt idx="258">
                  <c:v>4.6591428571428568E-2</c:v>
                </c:pt>
                <c:pt idx="259">
                  <c:v>4.65664935064935E-2</c:v>
                </c:pt>
                <c:pt idx="260">
                  <c:v>4.6941558441558437E-2</c:v>
                </c:pt>
                <c:pt idx="261">
                  <c:v>4.7116623376623368E-2</c:v>
                </c:pt>
                <c:pt idx="262">
                  <c:v>4.7491688311688304E-2</c:v>
                </c:pt>
                <c:pt idx="263">
                  <c:v>4.7666753246753235E-2</c:v>
                </c:pt>
                <c:pt idx="264">
                  <c:v>4.8041818181818172E-2</c:v>
                </c:pt>
                <c:pt idx="265">
                  <c:v>4.8316883116883105E-2</c:v>
                </c:pt>
                <c:pt idx="266">
                  <c:v>4.8691948051948035E-2</c:v>
                </c:pt>
                <c:pt idx="267">
                  <c:v>4.8967012987012969E-2</c:v>
                </c:pt>
                <c:pt idx="268">
                  <c:v>4.9242077922077902E-2</c:v>
                </c:pt>
                <c:pt idx="269">
                  <c:v>4.9517142857142836E-2</c:v>
                </c:pt>
                <c:pt idx="270">
                  <c:v>4.979220779220777E-2</c:v>
                </c:pt>
                <c:pt idx="271">
                  <c:v>4.9967272727272735E-2</c:v>
                </c:pt>
                <c:pt idx="272">
                  <c:v>5.0442337662337668E-2</c:v>
                </c:pt>
                <c:pt idx="273">
                  <c:v>5.0617402597402598E-2</c:v>
                </c:pt>
                <c:pt idx="274">
                  <c:v>5.0792467532467536E-2</c:v>
                </c:pt>
                <c:pt idx="275">
                  <c:v>5.1167532467532466E-2</c:v>
                </c:pt>
                <c:pt idx="276">
                  <c:v>5.1642597402597405E-2</c:v>
                </c:pt>
                <c:pt idx="277">
                  <c:v>5.1717662337662333E-2</c:v>
                </c:pt>
                <c:pt idx="278">
                  <c:v>5.1792727272727268E-2</c:v>
                </c:pt>
                <c:pt idx="279">
                  <c:v>5.2167792207792205E-2</c:v>
                </c:pt>
                <c:pt idx="280">
                  <c:v>5.2342857142857135E-2</c:v>
                </c:pt>
                <c:pt idx="281">
                  <c:v>5.2517922077922073E-2</c:v>
                </c:pt>
                <c:pt idx="282">
                  <c:v>5.3192987012987004E-2</c:v>
                </c:pt>
                <c:pt idx="283">
                  <c:v>5.2968051948051938E-2</c:v>
                </c:pt>
                <c:pt idx="284">
                  <c:v>5.344311688311687E-2</c:v>
                </c:pt>
                <c:pt idx="285">
                  <c:v>5.3418181818181802E-2</c:v>
                </c:pt>
                <c:pt idx="286">
                  <c:v>5.4193246753246736E-2</c:v>
                </c:pt>
                <c:pt idx="287">
                  <c:v>5.4068311688311672E-2</c:v>
                </c:pt>
                <c:pt idx="288">
                  <c:v>5.4443376623376609E-2</c:v>
                </c:pt>
                <c:pt idx="289">
                  <c:v>5.461844155844154E-2</c:v>
                </c:pt>
                <c:pt idx="290">
                  <c:v>5.4793506493506471E-2</c:v>
                </c:pt>
                <c:pt idx="291">
                  <c:v>5.526857142857141E-2</c:v>
                </c:pt>
                <c:pt idx="292">
                  <c:v>5.5043636363636371E-2</c:v>
                </c:pt>
                <c:pt idx="293">
                  <c:v>5.5518701298701303E-2</c:v>
                </c:pt>
                <c:pt idx="294">
                  <c:v>5.5693766233766234E-2</c:v>
                </c:pt>
                <c:pt idx="295">
                  <c:v>5.5968831168831168E-2</c:v>
                </c:pt>
                <c:pt idx="296">
                  <c:v>5.6143896103896106E-2</c:v>
                </c:pt>
                <c:pt idx="297">
                  <c:v>5.6418961038961039E-2</c:v>
                </c:pt>
                <c:pt idx="298">
                  <c:v>5.6694025974025973E-2</c:v>
                </c:pt>
                <c:pt idx="299">
                  <c:v>5.6969090909090907E-2</c:v>
                </c:pt>
                <c:pt idx="300">
                  <c:v>5.7444155844155839E-2</c:v>
                </c:pt>
                <c:pt idx="301">
                  <c:v>5.7519220779220774E-2</c:v>
                </c:pt>
                <c:pt idx="302">
                  <c:v>5.7694285714285705E-2</c:v>
                </c:pt>
                <c:pt idx="303">
                  <c:v>5.8069350649350641E-2</c:v>
                </c:pt>
                <c:pt idx="304">
                  <c:v>5.8244415584415572E-2</c:v>
                </c:pt>
                <c:pt idx="305">
                  <c:v>5.8919480519480504E-2</c:v>
                </c:pt>
                <c:pt idx="306">
                  <c:v>5.8294545454545439E-2</c:v>
                </c:pt>
                <c:pt idx="307">
                  <c:v>5.8969610389610377E-2</c:v>
                </c:pt>
                <c:pt idx="308">
                  <c:v>5.9344675324675307E-2</c:v>
                </c:pt>
                <c:pt idx="309">
                  <c:v>5.9919740259740242E-2</c:v>
                </c:pt>
                <c:pt idx="310">
                  <c:v>6.0094805194805173E-2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4C-453E-AF66-FFFF8759E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680016"/>
        <c:axId val="568682512"/>
      </c:scatterChart>
      <c:valAx>
        <c:axId val="568680016"/>
        <c:scaling>
          <c:orientation val="minMax"/>
          <c:max val="260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2512"/>
        <c:crosses val="autoZero"/>
        <c:crossBetween val="midCat"/>
      </c:valAx>
      <c:valAx>
        <c:axId val="568682512"/>
        <c:scaling>
          <c:orientation val="minMax"/>
          <c:max val="0.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Absorbance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00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45757597593699639"/>
          <c:y val="0.15928346776023233"/>
          <c:w val="0.4301829778969114"/>
          <c:h val="0.190584161448407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Sea</a:t>
            </a:r>
            <a:r>
              <a:rPr lang="en-US" baseline="0"/>
              <a:t> Salt </a:t>
            </a:r>
            <a:r>
              <a:rPr lang="en-US"/>
              <a:t>extinction coefficient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617712058082586"/>
          <c:y val="0.15218103389599782"/>
          <c:w val="0.6767748397875637"/>
          <c:h val="0.7658873309737726"/>
        </c:manualLayout>
      </c:layout>
      <c:scatterChart>
        <c:scatterStyle val="lineMarker"/>
        <c:varyColors val="0"/>
        <c:ser>
          <c:idx val="0"/>
          <c:order val="0"/>
          <c:tx>
            <c:v>ESW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blank!$I$9:$I$319</c:f>
              <c:numCache>
                <c:formatCode>General</c:formatCode>
                <c:ptCount val="311"/>
                <c:pt idx="0">
                  <c:v>5.3284191746180869E-2</c:v>
                </c:pt>
                <c:pt idx="1">
                  <c:v>5.610688831298126E-2</c:v>
                </c:pt>
                <c:pt idx="2">
                  <c:v>6.0230501046598085E-2</c:v>
                </c:pt>
                <c:pt idx="3">
                  <c:v>6.358764213082807E-2</c:v>
                </c:pt>
                <c:pt idx="4">
                  <c:v>6.5370127173460593E-2</c:v>
                </c:pt>
                <c:pt idx="5">
                  <c:v>6.578130579576151E-2</c:v>
                </c:pt>
                <c:pt idx="6">
                  <c:v>6.7031953367390915E-2</c:v>
                </c:pt>
                <c:pt idx="7">
                  <c:v>6.855112672094836E-2</c:v>
                </c:pt>
                <c:pt idx="8">
                  <c:v>6.9392468003619479E-2</c:v>
                </c:pt>
                <c:pt idx="9">
                  <c:v>6.87895055660174E-2</c:v>
                </c:pt>
                <c:pt idx="10">
                  <c:v>6.7015979282923174E-2</c:v>
                </c:pt>
                <c:pt idx="11">
                  <c:v>6.6629401698719434E-2</c:v>
                </c:pt>
                <c:pt idx="12">
                  <c:v>6.7543740281332171E-2</c:v>
                </c:pt>
                <c:pt idx="13">
                  <c:v>6.8153054432046029E-2</c:v>
                </c:pt>
                <c:pt idx="14">
                  <c:v>6.8295707272418904E-2</c:v>
                </c:pt>
                <c:pt idx="15">
                  <c:v>6.8198511841555121E-2</c:v>
                </c:pt>
                <c:pt idx="16">
                  <c:v>6.7407842061246073E-2</c:v>
                </c:pt>
                <c:pt idx="17">
                  <c:v>6.4706207250322875E-2</c:v>
                </c:pt>
                <c:pt idx="18">
                  <c:v>5.8258246724539463E-2</c:v>
                </c:pt>
                <c:pt idx="19">
                  <c:v>5.0496334799807176E-2</c:v>
                </c:pt>
                <c:pt idx="20">
                  <c:v>4.2040948525629639E-2</c:v>
                </c:pt>
                <c:pt idx="21">
                  <c:v>3.3231003937450015E-2</c:v>
                </c:pt>
                <c:pt idx="22">
                  <c:v>2.6347666658443469E-2</c:v>
                </c:pt>
                <c:pt idx="23">
                  <c:v>1.9769353811335769E-2</c:v>
                </c:pt>
                <c:pt idx="24">
                  <c:v>1.4919512744988209E-2</c:v>
                </c:pt>
                <c:pt idx="25">
                  <c:v>1.1115097295661482E-2</c:v>
                </c:pt>
                <c:pt idx="26">
                  <c:v>8.3482863240761356E-3</c:v>
                </c:pt>
                <c:pt idx="27">
                  <c:v>6.188917169861999E-3</c:v>
                </c:pt>
                <c:pt idx="28">
                  <c:v>4.5222797902536947E-3</c:v>
                </c:pt>
                <c:pt idx="29">
                  <c:v>3.2545205138977298E-3</c:v>
                </c:pt>
                <c:pt idx="30">
                  <c:v>2.3778182015146468E-3</c:v>
                </c:pt>
                <c:pt idx="31">
                  <c:v>1.7201077889563777E-3</c:v>
                </c:pt>
                <c:pt idx="32">
                  <c:v>1.2579258583845488E-3</c:v>
                </c:pt>
                <c:pt idx="33">
                  <c:v>9.3913148126944384E-4</c:v>
                </c:pt>
                <c:pt idx="34">
                  <c:v>6.6726393983108446E-4</c:v>
                </c:pt>
                <c:pt idx="35">
                  <c:v>4.7360779118730151E-4</c:v>
                </c:pt>
                <c:pt idx="36">
                  <c:v>3.5034189605863739E-4</c:v>
                </c:pt>
                <c:pt idx="37">
                  <c:v>2.5836055804780384E-4</c:v>
                </c:pt>
                <c:pt idx="38">
                  <c:v>1.8984263787534308E-4</c:v>
                </c:pt>
                <c:pt idx="39">
                  <c:v>1.50002228394227E-4</c:v>
                </c:pt>
                <c:pt idx="40">
                  <c:v>1.2319705104554035E-4</c:v>
                </c:pt>
                <c:pt idx="41">
                  <c:v>9.3784827270367873E-5</c:v>
                </c:pt>
                <c:pt idx="42">
                  <c:v>7.4800789201138917E-5</c:v>
                </c:pt>
                <c:pt idx="43">
                  <c:v>5.8423797558395811E-5</c:v>
                </c:pt>
                <c:pt idx="44">
                  <c:v>4.7260898768624477E-5</c:v>
                </c:pt>
                <c:pt idx="45">
                  <c:v>3.6097999978853157E-5</c:v>
                </c:pt>
                <c:pt idx="46">
                  <c:v>3.0149194042053552E-5</c:v>
                </c:pt>
                <c:pt idx="47">
                  <c:v>2.4200388105253812E-5</c:v>
                </c:pt>
                <c:pt idx="48">
                  <c:v>1.5644535741968351E-5</c:v>
                </c:pt>
                <c:pt idx="49">
                  <c:v>9.6957298051687931E-6</c:v>
                </c:pt>
                <c:pt idx="50">
                  <c:v>8.9610167213409657E-6</c:v>
                </c:pt>
                <c:pt idx="51">
                  <c:v>8.226303637513157E-6</c:v>
                </c:pt>
                <c:pt idx="52">
                  <c:v>-3.2954872577230761E-7</c:v>
                </c:pt>
                <c:pt idx="53">
                  <c:v>1.542784616885772E-6</c:v>
                </c:pt>
                <c:pt idx="54">
                  <c:v>8.0807153305794257E-7</c:v>
                </c:pt>
                <c:pt idx="55">
                  <c:v>-5.1407344037418172E-6</c:v>
                </c:pt>
                <c:pt idx="56">
                  <c:v>-5.8754474875696226E-6</c:v>
                </c:pt>
                <c:pt idx="57">
                  <c:v>-4.003114144911567E-6</c:v>
                </c:pt>
                <c:pt idx="58">
                  <c:v>-2.1307808022534882E-6</c:v>
                </c:pt>
                <c:pt idx="59">
                  <c:v>-2.5844745959543111E-7</c:v>
                </c:pt>
                <c:pt idx="60">
                  <c:v>-9.9316054342323779E-7</c:v>
                </c:pt>
                <c:pt idx="61">
                  <c:v>-9.5490129067087027E-6</c:v>
                </c:pt>
                <c:pt idx="62">
                  <c:v>-5.0696331375647592E-6</c:v>
                </c:pt>
                <c:pt idx="63">
                  <c:v>-3.1972997949068845E-6</c:v>
                </c:pt>
                <c:pt idx="64">
                  <c:v>3.889126400722945E-6</c:v>
                </c:pt>
                <c:pt idx="65">
                  <c:v>3.1544133168951379E-6</c:v>
                </c:pt>
                <c:pt idx="66">
                  <c:v>-2.7943926199044409E-6</c:v>
                </c:pt>
                <c:pt idx="67">
                  <c:v>-9.220592772463839E-7</c:v>
                </c:pt>
                <c:pt idx="68">
                  <c:v>9.5027406541168435E-7</c:v>
                </c:pt>
                <c:pt idx="69">
                  <c:v>2.8226074080697528E-6</c:v>
                </c:pt>
                <c:pt idx="70">
                  <c:v>9.9090336036993887E-6</c:v>
                </c:pt>
                <c:pt idx="71">
                  <c:v>9.1743205198715715E-6</c:v>
                </c:pt>
                <c:pt idx="72">
                  <c:v>1.3653700289015517E-5</c:v>
                </c:pt>
                <c:pt idx="73">
                  <c:v>1.5526033631673581E-5</c:v>
                </c:pt>
                <c:pt idx="74">
                  <c:v>2.2612459827303404E-5</c:v>
                </c:pt>
                <c:pt idx="75">
                  <c:v>2.1877746743475581E-5</c:v>
                </c:pt>
                <c:pt idx="76">
                  <c:v>2.1143033659647776E-5</c:v>
                </c:pt>
                <c:pt idx="77">
                  <c:v>2.8229459855277592E-5</c:v>
                </c:pt>
                <c:pt idx="78">
                  <c:v>3.5315886050907236E-5</c:v>
                </c:pt>
                <c:pt idx="79">
                  <c:v>3.1974126540593531E-5</c:v>
                </c:pt>
                <c:pt idx="80">
                  <c:v>3.9060552736223364E-5</c:v>
                </c:pt>
                <c:pt idx="81">
                  <c:v>3.5718793225909659E-5</c:v>
                </c:pt>
                <c:pt idx="82">
                  <c:v>5.062635870099712E-5</c:v>
                </c:pt>
                <c:pt idx="83">
                  <c:v>4.9891645617169318E-5</c:v>
                </c:pt>
                <c:pt idx="84">
                  <c:v>5.6978071812799138E-5</c:v>
                </c:pt>
                <c:pt idx="85">
                  <c:v>5.8850405155457192E-5</c:v>
                </c:pt>
                <c:pt idx="86">
                  <c:v>5.5508645645143317E-5</c:v>
                </c:pt>
                <c:pt idx="87">
                  <c:v>6.2595071840773137E-5</c:v>
                </c:pt>
                <c:pt idx="88">
                  <c:v>6.4467405183431191E-5</c:v>
                </c:pt>
                <c:pt idx="89">
                  <c:v>8.7196109937976322E-5</c:v>
                </c:pt>
                <c:pt idx="90">
                  <c:v>7.8640257574690857E-5</c:v>
                </c:pt>
                <c:pt idx="91">
                  <c:v>8.5726683770320664E-5</c:v>
                </c:pt>
                <c:pt idx="92">
                  <c:v>8.4991970686492855E-5</c:v>
                </c:pt>
                <c:pt idx="93">
                  <c:v>8.9471350455636785E-5</c:v>
                </c:pt>
                <c:pt idx="94">
                  <c:v>1.0437891593072407E-4</c:v>
                </c:pt>
                <c:pt idx="95">
                  <c:v>9.5823063567438633E-5</c:v>
                </c:pt>
                <c:pt idx="96">
                  <c:v>1.0812358261604023E-4</c:v>
                </c:pt>
                <c:pt idx="97">
                  <c:v>1.0738886953221238E-4</c:v>
                </c:pt>
                <c:pt idx="98">
                  <c:v>1.1968938858081397E-4</c:v>
                </c:pt>
                <c:pt idx="99">
                  <c:v>1.2156172192347205E-4</c:v>
                </c:pt>
                <c:pt idx="100">
                  <c:v>1.2604110169261599E-4</c:v>
                </c:pt>
                <c:pt idx="101">
                  <c:v>1.3052048146175975E-4</c:v>
                </c:pt>
                <c:pt idx="102">
                  <c:v>1.2978576837793191E-4</c:v>
                </c:pt>
                <c:pt idx="103">
                  <c:v>1.3947924100004763E-4</c:v>
                </c:pt>
                <c:pt idx="104">
                  <c:v>1.3353043506324805E-4</c:v>
                </c:pt>
                <c:pt idx="105">
                  <c:v>1.3540276840590611E-4</c:v>
                </c:pt>
                <c:pt idx="106">
                  <c:v>1.3988214817505008E-4</c:v>
                </c:pt>
                <c:pt idx="107">
                  <c:v>1.4436152794419397E-4</c:v>
                </c:pt>
                <c:pt idx="108">
                  <c:v>1.4884090771333794E-4</c:v>
                </c:pt>
                <c:pt idx="109">
                  <c:v>1.533202874824817E-4</c:v>
                </c:pt>
                <c:pt idx="110">
                  <c:v>1.5258557439865389E-4</c:v>
                </c:pt>
                <c:pt idx="111">
                  <c:v>1.5445790774131196E-4</c:v>
                </c:pt>
                <c:pt idx="112">
                  <c:v>1.5633024108397005E-4</c:v>
                </c:pt>
                <c:pt idx="113">
                  <c:v>1.6080962085311397E-4</c:v>
                </c:pt>
                <c:pt idx="114">
                  <c:v>1.5746786134280028E-4</c:v>
                </c:pt>
                <c:pt idx="115">
                  <c:v>1.5934019468545835E-4</c:v>
                </c:pt>
                <c:pt idx="116">
                  <c:v>1.6903366730757405E-4</c:v>
                </c:pt>
                <c:pt idx="117">
                  <c:v>1.6829895422374602E-4</c:v>
                </c:pt>
                <c:pt idx="118">
                  <c:v>1.7277833399288996E-4</c:v>
                </c:pt>
                <c:pt idx="119">
                  <c:v>1.7204362090906215E-4</c:v>
                </c:pt>
                <c:pt idx="120">
                  <c:v>1.7130890782523435E-4</c:v>
                </c:pt>
                <c:pt idx="121">
                  <c:v>1.7578828759437829E-4</c:v>
                </c:pt>
                <c:pt idx="122">
                  <c:v>1.7244652808406458E-4</c:v>
                </c:pt>
                <c:pt idx="123">
                  <c:v>1.7692590785320855E-4</c:v>
                </c:pt>
                <c:pt idx="124">
                  <c:v>1.7097710191640899E-4</c:v>
                </c:pt>
                <c:pt idx="125">
                  <c:v>1.7806352811203862E-4</c:v>
                </c:pt>
                <c:pt idx="126">
                  <c:v>1.8775700073415434E-4</c:v>
                </c:pt>
                <c:pt idx="127">
                  <c:v>1.8962933407681238E-4</c:v>
                </c:pt>
                <c:pt idx="128">
                  <c:v>1.9150166741947042E-4</c:v>
                </c:pt>
                <c:pt idx="129">
                  <c:v>1.9858809361510024E-4</c:v>
                </c:pt>
                <c:pt idx="130">
                  <c:v>1.9785338053127243E-4</c:v>
                </c:pt>
                <c:pt idx="131">
                  <c:v>2.1276094600635991E-4</c:v>
                </c:pt>
                <c:pt idx="132">
                  <c:v>2.1202623292253185E-4</c:v>
                </c:pt>
                <c:pt idx="133">
                  <c:v>2.1650561269167582E-4</c:v>
                </c:pt>
                <c:pt idx="134">
                  <c:v>2.0534271390190451E-4</c:v>
                </c:pt>
                <c:pt idx="135">
                  <c:v>2.1764323295050608E-4</c:v>
                </c:pt>
                <c:pt idx="136">
                  <c:v>2.143014734401924E-4</c:v>
                </c:pt>
                <c:pt idx="137">
                  <c:v>2.2138789963582219E-4</c:v>
                </c:pt>
                <c:pt idx="138">
                  <c:v>2.2847432583145204E-4</c:v>
                </c:pt>
                <c:pt idx="139">
                  <c:v>2.3034665917411011E-4</c:v>
                </c:pt>
                <c:pt idx="140">
                  <c:v>2.3482603894325386E-4</c:v>
                </c:pt>
                <c:pt idx="141">
                  <c:v>2.3669837228591193E-4</c:v>
                </c:pt>
                <c:pt idx="142">
                  <c:v>2.463918449080277E-4</c:v>
                </c:pt>
                <c:pt idx="143">
                  <c:v>2.4565713182419981E-4</c:v>
                </c:pt>
                <c:pt idx="144">
                  <c:v>2.5535060444631548E-4</c:v>
                </c:pt>
                <c:pt idx="145">
                  <c:v>2.5461589136248765E-4</c:v>
                </c:pt>
                <c:pt idx="146">
                  <c:v>2.6170231755811755E-4</c:v>
                </c:pt>
                <c:pt idx="147">
                  <c:v>2.5836055804780384E-4</c:v>
                </c:pt>
                <c:pt idx="148">
                  <c:v>2.6544698424343347E-4</c:v>
                </c:pt>
                <c:pt idx="149">
                  <c:v>2.621052247331197E-4</c:v>
                </c:pt>
                <c:pt idx="150">
                  <c:v>2.7440574378172141E-4</c:v>
                </c:pt>
                <c:pt idx="151">
                  <c:v>2.814921699773512E-4</c:v>
                </c:pt>
                <c:pt idx="152">
                  <c:v>2.8336450332000929E-4</c:v>
                </c:pt>
                <c:pt idx="153">
                  <c:v>2.8002274380969553E-4</c:v>
                </c:pt>
                <c:pt idx="154">
                  <c:v>2.8710917000532537E-4</c:v>
                </c:pt>
                <c:pt idx="155">
                  <c:v>2.9158854977446934E-4</c:v>
                </c:pt>
                <c:pt idx="156">
                  <c:v>3.0128202239658485E-4</c:v>
                </c:pt>
                <c:pt idx="157">
                  <c:v>3.0315435573924289E-4</c:v>
                </c:pt>
                <c:pt idx="158">
                  <c:v>3.0502668908190099E-4</c:v>
                </c:pt>
                <c:pt idx="159">
                  <c:v>3.0689902242455897E-4</c:v>
                </c:pt>
                <c:pt idx="160">
                  <c:v>3.1919954147316063E-4</c:v>
                </c:pt>
                <c:pt idx="161">
                  <c:v>3.2107187481581861E-4</c:v>
                </c:pt>
                <c:pt idx="162">
                  <c:v>3.3076534743793433E-4</c:v>
                </c:pt>
                <c:pt idx="163">
                  <c:v>3.3524472720707809E-4</c:v>
                </c:pt>
                <c:pt idx="164">
                  <c:v>3.3451001412325036E-4</c:v>
                </c:pt>
                <c:pt idx="165">
                  <c:v>3.4941757959833784E-4</c:v>
                </c:pt>
                <c:pt idx="166">
                  <c:v>3.4346877366153825E-4</c:v>
                </c:pt>
                <c:pt idx="167">
                  <c:v>3.5316224628365392E-4</c:v>
                </c:pt>
                <c:pt idx="168">
                  <c:v>3.4460639392036845E-4</c:v>
                </c:pt>
                <c:pt idx="169">
                  <c:v>3.5690691296897005E-4</c:v>
                </c:pt>
                <c:pt idx="170">
                  <c:v>3.639933391645999E-4</c:v>
                </c:pt>
                <c:pt idx="171">
                  <c:v>3.6586567250725772E-4</c:v>
                </c:pt>
                <c:pt idx="172">
                  <c:v>3.6252391299694401E-4</c:v>
                </c:pt>
                <c:pt idx="173">
                  <c:v>3.7482443204554555E-4</c:v>
                </c:pt>
                <c:pt idx="174">
                  <c:v>3.7669676538820387E-4</c:v>
                </c:pt>
                <c:pt idx="175">
                  <c:v>3.8639023801031937E-4</c:v>
                </c:pt>
                <c:pt idx="176">
                  <c:v>3.7783438564703385E-4</c:v>
                </c:pt>
                <c:pt idx="177">
                  <c:v>3.8752785826914974E-4</c:v>
                </c:pt>
                <c:pt idx="178">
                  <c:v>3.8940019161180751E-4</c:v>
                </c:pt>
                <c:pt idx="179">
                  <c:v>3.9909366423392339E-4</c:v>
                </c:pt>
                <c:pt idx="180">
                  <c:v>4.1660827613549658E-4</c:v>
                </c:pt>
                <c:pt idx="181">
                  <c:v>4.0283833091923953E-4</c:v>
                </c:pt>
                <c:pt idx="182">
                  <c:v>4.0210361783541158E-4</c:v>
                </c:pt>
                <c:pt idx="183">
                  <c:v>4.0919004403104111E-4</c:v>
                </c:pt>
                <c:pt idx="184">
                  <c:v>4.240976095061288E-4</c:v>
                </c:pt>
                <c:pt idx="185">
                  <c:v>4.2596994284878673E-4</c:v>
                </c:pt>
                <c:pt idx="186">
                  <c:v>4.1741409048550148E-4</c:v>
                </c:pt>
                <c:pt idx="187">
                  <c:v>4.3232165596058874E-4</c:v>
                </c:pt>
                <c:pt idx="188">
                  <c:v>4.4983626786216225E-4</c:v>
                </c:pt>
                <c:pt idx="189">
                  <c:v>4.4388746192536256E-4</c:v>
                </c:pt>
                <c:pt idx="190">
                  <c:v>4.4315274884153488E-4</c:v>
                </c:pt>
                <c:pt idx="191">
                  <c:v>4.4502508218419271E-4</c:v>
                </c:pt>
                <c:pt idx="192">
                  <c:v>4.5211150837982239E-4</c:v>
                </c:pt>
                <c:pt idx="193">
                  <c:v>4.5919793457545229E-4</c:v>
                </c:pt>
                <c:pt idx="194">
                  <c:v>4.6628436077108198E-4</c:v>
                </c:pt>
                <c:pt idx="195">
                  <c:v>4.7076374054022622E-4</c:v>
                </c:pt>
                <c:pt idx="196">
                  <c:v>4.7785016673585569E-4</c:v>
                </c:pt>
                <c:pt idx="197">
                  <c:v>4.7190136079905621E-4</c:v>
                </c:pt>
                <c:pt idx="198">
                  <c:v>4.7638074056820007E-4</c:v>
                </c:pt>
                <c:pt idx="199">
                  <c:v>4.9128830604328738E-4</c:v>
                </c:pt>
                <c:pt idx="200">
                  <c:v>4.9316063938594564E-4</c:v>
                </c:pt>
                <c:pt idx="201">
                  <c:v>4.9503297272860357E-4</c:v>
                </c:pt>
                <c:pt idx="202">
                  <c:v>4.9429825964477584E-4</c:v>
                </c:pt>
                <c:pt idx="203">
                  <c:v>5.0138468584040564E-4</c:v>
                </c:pt>
                <c:pt idx="204">
                  <c:v>5.0847111203603565E-4</c:v>
                </c:pt>
                <c:pt idx="205">
                  <c:v>5.0773639895220738E-4</c:v>
                </c:pt>
                <c:pt idx="206">
                  <c:v>5.0439463944189356E-4</c:v>
                </c:pt>
                <c:pt idx="207">
                  <c:v>5.1408811206400944E-4</c:v>
                </c:pt>
                <c:pt idx="208">
                  <c:v>5.2638863111261088E-4</c:v>
                </c:pt>
                <c:pt idx="209">
                  <c:v>5.2826096445526924E-4</c:v>
                </c:pt>
                <c:pt idx="210">
                  <c:v>5.2752625137144119E-4</c:v>
                </c:pt>
                <c:pt idx="211">
                  <c:v>5.3721972399355718E-4</c:v>
                </c:pt>
                <c:pt idx="212">
                  <c:v>5.4430615018918676E-4</c:v>
                </c:pt>
                <c:pt idx="213">
                  <c:v>5.4096439067887326E-4</c:v>
                </c:pt>
                <c:pt idx="214">
                  <c:v>5.4544377044801686E-4</c:v>
                </c:pt>
                <c:pt idx="215">
                  <c:v>5.577442894966184E-4</c:v>
                </c:pt>
                <c:pt idx="216">
                  <c:v>5.544025299863048E-4</c:v>
                </c:pt>
                <c:pt idx="217">
                  <c:v>5.6148895618193437E-4</c:v>
                </c:pt>
                <c:pt idx="218">
                  <c:v>5.6857538237756449E-4</c:v>
                </c:pt>
                <c:pt idx="219">
                  <c:v>5.7044771572022231E-4</c:v>
                </c:pt>
                <c:pt idx="220">
                  <c:v>5.7492709548936645E-4</c:v>
                </c:pt>
                <c:pt idx="221">
                  <c:v>5.8201352168499624E-4</c:v>
                </c:pt>
                <c:pt idx="222">
                  <c:v>5.8127880860116808E-4</c:v>
                </c:pt>
                <c:pt idx="223">
                  <c:v>5.9097228122328396E-4</c:v>
                </c:pt>
                <c:pt idx="224">
                  <c:v>5.9805870741891365E-4</c:v>
                </c:pt>
                <c:pt idx="225">
                  <c:v>5.9993104076157201E-4</c:v>
                </c:pt>
                <c:pt idx="226">
                  <c:v>6.0441042053071582E-4</c:v>
                </c:pt>
                <c:pt idx="227">
                  <c:v>6.1671093957931737E-4</c:v>
                </c:pt>
                <c:pt idx="228">
                  <c:v>6.0554804078954592E-4</c:v>
                </c:pt>
                <c:pt idx="229">
                  <c:v>6.2045560626463323E-4</c:v>
                </c:pt>
                <c:pt idx="230">
                  <c:v>6.197208931808055E-4</c:v>
                </c:pt>
                <c:pt idx="231">
                  <c:v>6.2420027294994931E-4</c:v>
                </c:pt>
                <c:pt idx="232">
                  <c:v>6.3389374557206531E-4</c:v>
                </c:pt>
                <c:pt idx="233">
                  <c:v>6.3576607891472324E-4</c:v>
                </c:pt>
                <c:pt idx="234">
                  <c:v>6.3763841225738139E-4</c:v>
                </c:pt>
                <c:pt idx="235">
                  <c:v>6.4472483845301107E-4</c:v>
                </c:pt>
                <c:pt idx="236">
                  <c:v>6.4659717179566922E-4</c:v>
                </c:pt>
                <c:pt idx="237">
                  <c:v>6.5107655156481303E-4</c:v>
                </c:pt>
                <c:pt idx="238">
                  <c:v>6.5555593133395673E-4</c:v>
                </c:pt>
                <c:pt idx="239">
                  <c:v>6.5742826467661488E-4</c:v>
                </c:pt>
                <c:pt idx="240">
                  <c:v>6.6712173729873054E-4</c:v>
                </c:pt>
                <c:pt idx="241">
                  <c:v>6.7160111706787468E-4</c:v>
                </c:pt>
                <c:pt idx="242">
                  <c:v>6.7608049683701838E-4</c:v>
                </c:pt>
                <c:pt idx="243">
                  <c:v>6.7273873732670499E-4</c:v>
                </c:pt>
                <c:pt idx="244">
                  <c:v>6.7982516352233457E-4</c:v>
                </c:pt>
                <c:pt idx="245">
                  <c:v>6.8691158971796414E-4</c:v>
                </c:pt>
                <c:pt idx="246">
                  <c:v>6.9139096948710827E-4</c:v>
                </c:pt>
                <c:pt idx="247">
                  <c:v>6.9326330282976621E-4</c:v>
                </c:pt>
                <c:pt idx="248">
                  <c:v>6.9774268259891045E-4</c:v>
                </c:pt>
                <c:pt idx="249">
                  <c:v>7.0743615522102601E-4</c:v>
                </c:pt>
                <c:pt idx="250">
                  <c:v>7.0930848856368405E-4</c:v>
                </c:pt>
                <c:pt idx="251">
                  <c:v>7.0857377547985589E-4</c:v>
                </c:pt>
                <c:pt idx="252">
                  <c:v>7.1566020167548611E-4</c:v>
                </c:pt>
                <c:pt idx="253">
                  <c:v>7.1753253501814405E-4</c:v>
                </c:pt>
                <c:pt idx="254">
                  <c:v>7.2983305406674548E-4</c:v>
                </c:pt>
                <c:pt idx="255">
                  <c:v>7.3691948026237538E-4</c:v>
                </c:pt>
                <c:pt idx="256">
                  <c:v>7.3618476717854744E-4</c:v>
                </c:pt>
                <c:pt idx="257">
                  <c:v>7.4066414694769146E-4</c:v>
                </c:pt>
                <c:pt idx="258">
                  <c:v>7.4514352671683527E-4</c:v>
                </c:pt>
                <c:pt idx="259">
                  <c:v>7.4701586005949342E-4</c:v>
                </c:pt>
                <c:pt idx="260">
                  <c:v>7.5149523982863723E-4</c:v>
                </c:pt>
                <c:pt idx="261">
                  <c:v>7.5597461959778104E-4</c:v>
                </c:pt>
                <c:pt idx="262">
                  <c:v>7.6045399936692517E-4</c:v>
                </c:pt>
                <c:pt idx="263">
                  <c:v>7.7014747198904073E-4</c:v>
                </c:pt>
                <c:pt idx="264">
                  <c:v>7.7201980533169877E-4</c:v>
                </c:pt>
                <c:pt idx="265">
                  <c:v>7.7910623152732845E-4</c:v>
                </c:pt>
                <c:pt idx="266">
                  <c:v>7.7837151844350084E-4</c:v>
                </c:pt>
                <c:pt idx="267">
                  <c:v>7.880649910656165E-4</c:v>
                </c:pt>
                <c:pt idx="268">
                  <c:v>7.8993732440827433E-4</c:v>
                </c:pt>
                <c:pt idx="269">
                  <c:v>7.9441670417741835E-4</c:v>
                </c:pt>
                <c:pt idx="270">
                  <c:v>7.9889608394656227E-4</c:v>
                </c:pt>
                <c:pt idx="271">
                  <c:v>8.0076841728922053E-4</c:v>
                </c:pt>
                <c:pt idx="272">
                  <c:v>8.0785484348484999E-4</c:v>
                </c:pt>
                <c:pt idx="273">
                  <c:v>8.0972717682750825E-4</c:v>
                </c:pt>
                <c:pt idx="274">
                  <c:v>8.1159951017016607E-4</c:v>
                </c:pt>
                <c:pt idx="275">
                  <c:v>8.2129298279228196E-4</c:v>
                </c:pt>
                <c:pt idx="276">
                  <c:v>8.2577236256142598E-4</c:v>
                </c:pt>
                <c:pt idx="277">
                  <c:v>8.2503764947759793E-4</c:v>
                </c:pt>
                <c:pt idx="278">
                  <c:v>8.243029363937702E-4</c:v>
                </c:pt>
                <c:pt idx="279">
                  <c:v>8.4181754829534329E-4</c:v>
                </c:pt>
                <c:pt idx="280">
                  <c:v>8.3065464950557194E-4</c:v>
                </c:pt>
                <c:pt idx="281">
                  <c:v>8.455622149806598E-4</c:v>
                </c:pt>
                <c:pt idx="282">
                  <c:v>8.5525568760277536E-4</c:v>
                </c:pt>
                <c:pt idx="283">
                  <c:v>8.4148574238651793E-4</c:v>
                </c:pt>
                <c:pt idx="284">
                  <c:v>8.5639330786160513E-4</c:v>
                </c:pt>
                <c:pt idx="285">
                  <c:v>8.582656412042635E-4</c:v>
                </c:pt>
                <c:pt idx="286">
                  <c:v>8.6795911382637906E-4</c:v>
                </c:pt>
                <c:pt idx="287">
                  <c:v>8.6722440074255144E-4</c:v>
                </c:pt>
                <c:pt idx="288">
                  <c:v>8.7952491979115277E-4</c:v>
                </c:pt>
                <c:pt idx="289">
                  <c:v>8.7357611385435361E-4</c:v>
                </c:pt>
                <c:pt idx="290">
                  <c:v>8.8326958647646885E-4</c:v>
                </c:pt>
                <c:pt idx="291">
                  <c:v>8.8774896624561265E-4</c:v>
                </c:pt>
                <c:pt idx="292">
                  <c:v>8.8440720673529916E-4</c:v>
                </c:pt>
                <c:pt idx="293">
                  <c:v>8.967077257839007E-4</c:v>
                </c:pt>
                <c:pt idx="294">
                  <c:v>8.9597301270007298E-4</c:v>
                </c:pt>
                <c:pt idx="295">
                  <c:v>9.0045239246921678E-4</c:v>
                </c:pt>
                <c:pt idx="296">
                  <c:v>9.049317722383607E-4</c:v>
                </c:pt>
                <c:pt idx="297">
                  <c:v>9.0680410558101863E-4</c:v>
                </c:pt>
                <c:pt idx="298">
                  <c:v>9.1649757820313452E-4</c:v>
                </c:pt>
                <c:pt idx="299">
                  <c:v>9.2097695797227843E-4</c:v>
                </c:pt>
                <c:pt idx="300">
                  <c:v>9.2284929131493647E-4</c:v>
                </c:pt>
                <c:pt idx="301">
                  <c:v>9.3254276393705214E-4</c:v>
                </c:pt>
                <c:pt idx="302">
                  <c:v>9.3441509727970986E-4</c:v>
                </c:pt>
                <c:pt idx="303">
                  <c:v>9.4410856990182585E-4</c:v>
                </c:pt>
                <c:pt idx="304">
                  <c:v>9.5119499609745554E-4</c:v>
                </c:pt>
                <c:pt idx="305">
                  <c:v>9.5828142229308544E-4</c:v>
                </c:pt>
                <c:pt idx="306">
                  <c:v>9.4190443065034224E-4</c:v>
                </c:pt>
                <c:pt idx="307">
                  <c:v>9.5941904255191553E-4</c:v>
                </c:pt>
                <c:pt idx="308">
                  <c:v>9.6389842232105956E-4</c:v>
                </c:pt>
                <c:pt idx="309">
                  <c:v>9.7098484851668903E-4</c:v>
                </c:pt>
                <c:pt idx="310">
                  <c:v>9.8067832113880524E-4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E-4574-ADB4-54762950E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680016"/>
        <c:axId val="568682512"/>
      </c:scatterChart>
      <c:valAx>
        <c:axId val="568680016"/>
        <c:scaling>
          <c:orientation val="minMax"/>
          <c:max val="260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2512"/>
        <c:crosses val="autoZero"/>
        <c:crossBetween val="midCat"/>
      </c:valAx>
      <c:valAx>
        <c:axId val="568682512"/>
        <c:scaling>
          <c:orientation val="minMax"/>
          <c:max val="3.0000000000000009E-3"/>
          <c:min val="-5.0000000000000012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ESW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00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37272745059768581"/>
          <c:y val="0.16378563447227515"/>
          <c:w val="0.4301829778969114"/>
          <c:h val="0.190584161448407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Nitrate extinction coefficient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617712058082586"/>
          <c:y val="0.15218103389599782"/>
          <c:w val="0.75253245169766247"/>
          <c:h val="0.7658873309737726"/>
        </c:manualLayout>
      </c:layout>
      <c:scatterChart>
        <c:scatterStyle val="lineMarker"/>
        <c:varyColors val="0"/>
        <c:ser>
          <c:idx val="1"/>
          <c:order val="0"/>
          <c:tx>
            <c:v>ENO3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blank!$M$9:$M$319</c:f>
              <c:numCache>
                <c:formatCode>General</c:formatCode>
                <c:ptCount val="311"/>
                <c:pt idx="0">
                  <c:v>5066.4408445630415</c:v>
                </c:pt>
                <c:pt idx="1">
                  <c:v>5982.6184394304573</c:v>
                </c:pt>
                <c:pt idx="2">
                  <c:v>6445.8728273517663</c:v>
                </c:pt>
                <c:pt idx="3">
                  <c:v>6888.5025894835762</c:v>
                </c:pt>
                <c:pt idx="4">
                  <c:v>6750.1816842716262</c:v>
                </c:pt>
                <c:pt idx="5">
                  <c:v>7135.5656246804756</c:v>
                </c:pt>
                <c:pt idx="6">
                  <c:v>7208.8294462449803</c:v>
                </c:pt>
                <c:pt idx="7">
                  <c:v>7255.4489095732142</c:v>
                </c:pt>
                <c:pt idx="8">
                  <c:v>7663.587033389972</c:v>
                </c:pt>
                <c:pt idx="9">
                  <c:v>7334.8414141280073</c:v>
                </c:pt>
                <c:pt idx="10">
                  <c:v>7209.7525927438392</c:v>
                </c:pt>
                <c:pt idx="11">
                  <c:v>7320.2914010951481</c:v>
                </c:pt>
                <c:pt idx="12">
                  <c:v>7362.3514469447528</c:v>
                </c:pt>
                <c:pt idx="13">
                  <c:v>7598.5393344586619</c:v>
                </c:pt>
                <c:pt idx="14">
                  <c:v>7637.2342997704418</c:v>
                </c:pt>
                <c:pt idx="15">
                  <c:v>7549.86834665676</c:v>
                </c:pt>
                <c:pt idx="16">
                  <c:v>7600.2441342309266</c:v>
                </c:pt>
                <c:pt idx="17">
                  <c:v>7931.7988120797463</c:v>
                </c:pt>
                <c:pt idx="18">
                  <c:v>8384.3367532183292</c:v>
                </c:pt>
                <c:pt idx="19">
                  <c:v>8755.1689866542874</c:v>
                </c:pt>
                <c:pt idx="20">
                  <c:v>8388.1874052225285</c:v>
                </c:pt>
                <c:pt idx="21">
                  <c:v>8101.5215675676709</c:v>
                </c:pt>
                <c:pt idx="22">
                  <c:v>7553.009314994375</c:v>
                </c:pt>
                <c:pt idx="23">
                  <c:v>6899.2581096456943</c:v>
                </c:pt>
                <c:pt idx="24">
                  <c:v>6250.6343200512947</c:v>
                </c:pt>
                <c:pt idx="25">
                  <c:v>5621.4717075068766</c:v>
                </c:pt>
                <c:pt idx="26">
                  <c:v>5077.6595898898613</c:v>
                </c:pt>
                <c:pt idx="27">
                  <c:v>4556.4437837923269</c:v>
                </c:pt>
                <c:pt idx="28">
                  <c:v>4050.8676180832676</c:v>
                </c:pt>
                <c:pt idx="29">
                  <c:v>3600.4917961807528</c:v>
                </c:pt>
                <c:pt idx="30">
                  <c:v>3157.872302628879</c:v>
                </c:pt>
                <c:pt idx="31">
                  <c:v>2779.2407973978093</c:v>
                </c:pt>
                <c:pt idx="32">
                  <c:v>2433.3763452309513</c:v>
                </c:pt>
                <c:pt idx="33">
                  <c:v>2135.0966208667351</c:v>
                </c:pt>
                <c:pt idx="34">
                  <c:v>1832.5921003490405</c:v>
                </c:pt>
                <c:pt idx="35">
                  <c:v>1542.3055121681409</c:v>
                </c:pt>
                <c:pt idx="36">
                  <c:v>1294.5706186459124</c:v>
                </c:pt>
                <c:pt idx="37">
                  <c:v>1078.8340091695131</c:v>
                </c:pt>
                <c:pt idx="38">
                  <c:v>892.09611272748555</c:v>
                </c:pt>
                <c:pt idx="39">
                  <c:v>765.98627295709775</c:v>
                </c:pt>
                <c:pt idx="40">
                  <c:v>656.72757005765754</c:v>
                </c:pt>
                <c:pt idx="41">
                  <c:v>522.76530645069454</c:v>
                </c:pt>
                <c:pt idx="42">
                  <c:v>420.95061900715569</c:v>
                </c:pt>
                <c:pt idx="43">
                  <c:v>323.83949227113987</c:v>
                </c:pt>
                <c:pt idx="44">
                  <c:v>258.35770917239171</c:v>
                </c:pt>
                <c:pt idx="45">
                  <c:v>208.43148162919914</c:v>
                </c:pt>
                <c:pt idx="46">
                  <c:v>154.57904216771891</c:v>
                </c:pt>
                <c:pt idx="47">
                  <c:v>116.28215826179428</c:v>
                </c:pt>
                <c:pt idx="48">
                  <c:v>82.170602537235709</c:v>
                </c:pt>
                <c:pt idx="49">
                  <c:v>54.984829742422079</c:v>
                </c:pt>
                <c:pt idx="50">
                  <c:v>32.761733918209607</c:v>
                </c:pt>
                <c:pt idx="51">
                  <c:v>14.98308253844189</c:v>
                </c:pt>
                <c:pt idx="52">
                  <c:v>9.7604157027721783</c:v>
                </c:pt>
                <c:pt idx="53">
                  <c:v>-1.0924527472508507</c:v>
                </c:pt>
                <c:pt idx="54">
                  <c:v>-5.5377707936855334</c:v>
                </c:pt>
                <c:pt idx="55">
                  <c:v>-10.501321366276773</c:v>
                </c:pt>
                <c:pt idx="56">
                  <c:v>-14.946639412711471</c:v>
                </c:pt>
                <c:pt idx="57">
                  <c:v>-12.466174529401117</c:v>
                </c:pt>
                <c:pt idx="58">
                  <c:v>-12.207931868313024</c:v>
                </c:pt>
                <c:pt idx="59">
                  <c:v>-16.394133651669332</c:v>
                </c:pt>
                <c:pt idx="60">
                  <c:v>-11.950562809215159</c:v>
                </c:pt>
                <c:pt idx="61">
                  <c:v>-6.0621185337734795</c:v>
                </c:pt>
                <c:pt idx="62">
                  <c:v>-3.3225373873847879</c:v>
                </c:pt>
                <c:pt idx="63">
                  <c:v>-0.84207250407429446</c:v>
                </c:pt>
                <c:pt idx="64">
                  <c:v>-2.2878195390516827</c:v>
                </c:pt>
                <c:pt idx="65">
                  <c:v>-6.6470918819718269E-2</c:v>
                </c:pt>
                <c:pt idx="66">
                  <c:v>3.8588673974777814</c:v>
                </c:pt>
                <c:pt idx="67">
                  <c:v>10.783776725232554</c:v>
                </c:pt>
                <c:pt idx="68">
                  <c:v>6.5975749418762373</c:v>
                </c:pt>
                <c:pt idx="69">
                  <c:v>6.8558176029643372</c:v>
                </c:pt>
                <c:pt idx="70">
                  <c:v>12.076737234653759</c:v>
                </c:pt>
                <c:pt idx="71">
                  <c:v>16.520308077107959</c:v>
                </c:pt>
                <c:pt idx="72">
                  <c:v>17.03766700127473</c:v>
                </c:pt>
                <c:pt idx="73">
                  <c:v>19.518131884585081</c:v>
                </c:pt>
                <c:pt idx="74">
                  <c:v>20.294607071829908</c:v>
                </c:pt>
                <c:pt idx="75">
                  <c:v>22.515955692061883</c:v>
                </c:pt>
                <c:pt idx="76">
                  <c:v>24.737304312293865</c:v>
                </c:pt>
                <c:pt idx="77">
                  <c:v>27.736001721760921</c:v>
                </c:pt>
                <c:pt idx="78">
                  <c:v>26.290254686783655</c:v>
                </c:pt>
                <c:pt idx="79">
                  <c:v>34.919153710603958</c:v>
                </c:pt>
                <c:pt idx="80">
                  <c:v>35.695628897848771</c:v>
                </c:pt>
                <c:pt idx="81">
                  <c:v>37.657861255002409</c:v>
                </c:pt>
                <c:pt idx="82">
                  <c:v>41.433907453704833</c:v>
                </c:pt>
                <c:pt idx="83">
                  <c:v>41.433033851714569</c:v>
                </c:pt>
                <c:pt idx="84">
                  <c:v>42.209509038959396</c:v>
                </c:pt>
                <c:pt idx="85">
                  <c:v>44.689973922269751</c:v>
                </c:pt>
                <c:pt idx="86">
                  <c:v>48.874428501645724</c:v>
                </c:pt>
                <c:pt idx="87">
                  <c:v>49.650903688890558</c:v>
                </c:pt>
                <c:pt idx="88">
                  <c:v>58.798035238867577</c:v>
                </c:pt>
                <c:pt idx="89">
                  <c:v>52.240319115693609</c:v>
                </c:pt>
                <c:pt idx="90">
                  <c:v>55.90654116891276</c:v>
                </c:pt>
                <c:pt idx="91">
                  <c:v>61.127460800602051</c:v>
                </c:pt>
                <c:pt idx="92">
                  <c:v>65.571031643056557</c:v>
                </c:pt>
                <c:pt idx="93">
                  <c:v>61.643946122778594</c:v>
                </c:pt>
                <c:pt idx="94">
                  <c:v>63.197770099258605</c:v>
                </c:pt>
                <c:pt idx="95">
                  <c:v>64.641769930255521</c:v>
                </c:pt>
                <c:pt idx="96">
                  <c:v>70.380922088101485</c:v>
                </c:pt>
                <c:pt idx="97">
                  <c:v>70.380048486111264</c:v>
                </c:pt>
                <c:pt idx="98">
                  <c:v>73.896978421735014</c:v>
                </c:pt>
                <c:pt idx="99">
                  <c:v>71.93299886060089</c:v>
                </c:pt>
                <c:pt idx="100">
                  <c:v>70.228135562545148</c:v>
                </c:pt>
                <c:pt idx="101">
                  <c:v>72.967716708933992</c:v>
                </c:pt>
                <c:pt idx="102">
                  <c:v>79.63350977361074</c:v>
                </c:pt>
                <c:pt idx="103">
                  <c:v>78.446879001711679</c:v>
                </c:pt>
                <c:pt idx="104">
                  <c:v>89.038883984675849</c:v>
                </c:pt>
                <c:pt idx="105">
                  <c:v>93.74157109020841</c:v>
                </c:pt>
                <c:pt idx="106">
                  <c:v>94.25893001437484</c:v>
                </c:pt>
                <c:pt idx="107">
                  <c:v>92.554066716319156</c:v>
                </c:pt>
                <c:pt idx="108">
                  <c:v>93.071425640485614</c:v>
                </c:pt>
                <c:pt idx="109">
                  <c:v>95.811006786874458</c:v>
                </c:pt>
                <c:pt idx="110">
                  <c:v>95.810133184884165</c:v>
                </c:pt>
                <c:pt idx="111">
                  <c:v>107.17948695708343</c:v>
                </c:pt>
                <c:pt idx="112">
                  <c:v>102.99328517372706</c:v>
                </c:pt>
                <c:pt idx="113">
                  <c:v>103.51064409789386</c:v>
                </c:pt>
                <c:pt idx="114">
                  <c:v>107.6950986772697</c:v>
                </c:pt>
                <c:pt idx="115">
                  <c:v>114.62000800502449</c:v>
                </c:pt>
                <c:pt idx="116">
                  <c:v>115.65559945534768</c:v>
                </c:pt>
                <c:pt idx="117">
                  <c:v>115.65472585335755</c:v>
                </c:pt>
                <c:pt idx="118">
                  <c:v>118.39430699974623</c:v>
                </c:pt>
                <c:pt idx="119">
                  <c:v>122.83787784220046</c:v>
                </c:pt>
                <c:pt idx="120">
                  <c:v>129.50367090687689</c:v>
                </c:pt>
                <c:pt idx="121">
                  <c:v>127.79880760882116</c:v>
                </c:pt>
                <c:pt idx="122">
                  <c:v>136.42770663264145</c:v>
                </c:pt>
                <c:pt idx="123">
                  <c:v>132.50062111236372</c:v>
                </c:pt>
                <c:pt idx="124">
                  <c:v>138.64818165088349</c:v>
                </c:pt>
                <c:pt idx="125">
                  <c:v>141.64687906035067</c:v>
                </c:pt>
                <c:pt idx="126">
                  <c:v>144.90469273289605</c:v>
                </c:pt>
                <c:pt idx="127">
                  <c:v>140.71849094953976</c:v>
                </c:pt>
                <c:pt idx="128">
                  <c:v>145.42117805507232</c:v>
                </c:pt>
                <c:pt idx="129">
                  <c:v>139.53098657565047</c:v>
                </c:pt>
                <c:pt idx="130">
                  <c:v>150.64122408477135</c:v>
                </c:pt>
                <c:pt idx="131">
                  <c:v>145.52838139458456</c:v>
                </c:pt>
                <c:pt idx="132">
                  <c:v>152.19417445926115</c:v>
                </c:pt>
                <c:pt idx="133">
                  <c:v>161.60042227231679</c:v>
                </c:pt>
                <c:pt idx="134">
                  <c:v>165.00752806245757</c:v>
                </c:pt>
                <c:pt idx="135">
                  <c:v>161.85779133141466</c:v>
                </c:pt>
                <c:pt idx="136">
                  <c:v>163.82002368856831</c:v>
                </c:pt>
                <c:pt idx="137">
                  <c:v>164.59649887581315</c:v>
                </c:pt>
                <c:pt idx="138">
                  <c:v>167.59519628528017</c:v>
                </c:pt>
                <c:pt idx="139">
                  <c:v>174.52010561303499</c:v>
                </c:pt>
                <c:pt idx="140">
                  <c:v>168.37079787053491</c:v>
                </c:pt>
                <c:pt idx="141">
                  <c:v>173.07348497606742</c:v>
                </c:pt>
                <c:pt idx="142">
                  <c:v>180.77574309305726</c:v>
                </c:pt>
                <c:pt idx="143">
                  <c:v>171.88598060217848</c:v>
                </c:pt>
                <c:pt idx="144">
                  <c:v>170.69934983027949</c:v>
                </c:pt>
                <c:pt idx="145">
                  <c:v>184.03180956162257</c:v>
                </c:pt>
                <c:pt idx="146">
                  <c:v>175.91939585997847</c:v>
                </c:pt>
                <c:pt idx="147">
                  <c:v>188.9927393282432</c:v>
                </c:pt>
                <c:pt idx="148">
                  <c:v>189.76921451548816</c:v>
                </c:pt>
                <c:pt idx="149">
                  <c:v>189.50922465041961</c:v>
                </c:pt>
                <c:pt idx="150">
                  <c:v>195.2483768082655</c:v>
                </c:pt>
                <c:pt idx="151">
                  <c:v>193.80262977328815</c:v>
                </c:pt>
                <c:pt idx="152">
                  <c:v>196.28309465659848</c:v>
                </c:pt>
                <c:pt idx="153">
                  <c:v>200.46754923597433</c:v>
                </c:pt>
                <c:pt idx="154">
                  <c:v>207.91069108988614</c:v>
                </c:pt>
                <c:pt idx="155">
                  <c:v>206.20582779183033</c:v>
                </c:pt>
                <c:pt idx="156">
                  <c:v>216.13030813104257</c:v>
                </c:pt>
                <c:pt idx="157">
                  <c:v>211.9441063476863</c:v>
                </c:pt>
                <c:pt idx="158">
                  <c:v>218.86901567544103</c:v>
                </c:pt>
                <c:pt idx="159">
                  <c:v>223.57170278097368</c:v>
                </c:pt>
                <c:pt idx="160">
                  <c:v>227.08863271659732</c:v>
                </c:pt>
                <c:pt idx="161">
                  <c:v>225.12465315546331</c:v>
                </c:pt>
                <c:pt idx="162">
                  <c:v>226.16024460578649</c:v>
                </c:pt>
                <c:pt idx="163">
                  <c:v>231.1220479743975</c:v>
                </c:pt>
                <c:pt idx="164">
                  <c:v>231.12117437240752</c:v>
                </c:pt>
                <c:pt idx="165">
                  <c:v>223.78610945999847</c:v>
                </c:pt>
                <c:pt idx="166">
                  <c:v>229.93366999851824</c:v>
                </c:pt>
                <c:pt idx="167">
                  <c:v>237.63592811550814</c:v>
                </c:pt>
                <c:pt idx="168">
                  <c:v>241.30215016872728</c:v>
                </c:pt>
                <c:pt idx="169">
                  <c:v>238.15241343768434</c:v>
                </c:pt>
                <c:pt idx="170">
                  <c:v>241.15111084715133</c:v>
                </c:pt>
                <c:pt idx="171">
                  <c:v>243.63157573046189</c:v>
                </c:pt>
                <c:pt idx="172">
                  <c:v>252.2604747542822</c:v>
                </c:pt>
                <c:pt idx="173">
                  <c:v>253.55518246768372</c:v>
                </c:pt>
                <c:pt idx="174">
                  <c:v>247.14675846210534</c:v>
                </c:pt>
                <c:pt idx="175">
                  <c:v>252.62679435687309</c:v>
                </c:pt>
                <c:pt idx="176">
                  <c:v>262.95968307675895</c:v>
                </c:pt>
                <c:pt idx="177">
                  <c:v>266.21749674930419</c:v>
                </c:pt>
                <c:pt idx="178">
                  <c:v>266.47573941039252</c:v>
                </c:pt>
                <c:pt idx="179">
                  <c:v>260.84466419404896</c:v>
                </c:pt>
                <c:pt idx="180">
                  <c:v>262.65760443360728</c:v>
                </c:pt>
                <c:pt idx="181">
                  <c:v>276.91670507178071</c:v>
                </c:pt>
                <c:pt idx="182">
                  <c:v>272.47138702534613</c:v>
                </c:pt>
                <c:pt idx="183">
                  <c:v>279.91452887925789</c:v>
                </c:pt>
                <c:pt idx="184">
                  <c:v>281.46835285573786</c:v>
                </c:pt>
                <c:pt idx="185">
                  <c:v>279.50437329460385</c:v>
                </c:pt>
                <c:pt idx="186">
                  <c:v>278.72615090337843</c:v>
                </c:pt>
                <c:pt idx="187">
                  <c:v>282.50219710208074</c:v>
                </c:pt>
                <c:pt idx="188">
                  <c:v>288.75958178608317</c:v>
                </c:pt>
                <c:pt idx="189">
                  <c:v>286.0182534357142</c:v>
                </c:pt>
                <c:pt idx="190">
                  <c:v>294.90626872261271</c:v>
                </c:pt>
                <c:pt idx="191">
                  <c:v>301.83117805036767</c:v>
                </c:pt>
                <c:pt idx="192">
                  <c:v>307.05209768205702</c:v>
                </c:pt>
                <c:pt idx="193">
                  <c:v>310.05079509152398</c:v>
                </c:pt>
                <c:pt idx="194">
                  <c:v>308.60504805654705</c:v>
                </c:pt>
                <c:pt idx="195">
                  <c:v>300.23351809182435</c:v>
                </c:pt>
                <c:pt idx="196">
                  <c:v>305.45443772351399</c:v>
                </c:pt>
                <c:pt idx="197">
                  <c:v>316.04644270647799</c:v>
                </c:pt>
                <c:pt idx="198">
                  <c:v>314.34157940842232</c:v>
                </c:pt>
                <c:pt idx="199">
                  <c:v>315.89540338490235</c:v>
                </c:pt>
                <c:pt idx="200">
                  <c:v>309.48697937932366</c:v>
                </c:pt>
                <c:pt idx="201">
                  <c:v>320.85633315152302</c:v>
                </c:pt>
                <c:pt idx="202">
                  <c:v>323.07768177175495</c:v>
                </c:pt>
                <c:pt idx="203">
                  <c:v>326.07637918122197</c:v>
                </c:pt>
                <c:pt idx="204">
                  <c:v>329.07507659068892</c:v>
                </c:pt>
                <c:pt idx="205">
                  <c:v>326.85198076647697</c:v>
                </c:pt>
                <c:pt idx="206">
                  <c:v>339.92532423474194</c:v>
                </c:pt>
                <c:pt idx="207">
                  <c:v>340.96091568506489</c:v>
                </c:pt>
                <c:pt idx="208">
                  <c:v>344.47784562068881</c:v>
                </c:pt>
                <c:pt idx="209">
                  <c:v>346.95831050399886</c:v>
                </c:pt>
                <c:pt idx="210">
                  <c:v>346.95743690200891</c:v>
                </c:pt>
                <c:pt idx="211">
                  <c:v>354.65969501899849</c:v>
                </c:pt>
                <c:pt idx="212">
                  <c:v>348.76950353957676</c:v>
                </c:pt>
                <c:pt idx="213">
                  <c:v>355.17618034117481</c:v>
                </c:pt>
                <c:pt idx="214">
                  <c:v>360.13798370978589</c:v>
                </c:pt>
                <c:pt idx="215">
                  <c:v>354.76602475652118</c:v>
                </c:pt>
                <c:pt idx="216">
                  <c:v>363.3949237803414</c:v>
                </c:pt>
                <c:pt idx="217">
                  <c:v>361.94917674536413</c:v>
                </c:pt>
                <c:pt idx="218">
                  <c:v>373.83676304371983</c:v>
                </c:pt>
                <c:pt idx="219">
                  <c:v>374.09500570480822</c:v>
                </c:pt>
                <c:pt idx="220">
                  <c:v>376.83458685119672</c:v>
                </c:pt>
                <c:pt idx="221">
                  <c:v>375.38883981621927</c:v>
                </c:pt>
                <c:pt idx="222">
                  <c:v>382.05463288089601</c:v>
                </c:pt>
                <c:pt idx="223">
                  <c:v>380.86800210899679</c:v>
                </c:pt>
                <c:pt idx="224">
                  <c:v>383.86669951846403</c:v>
                </c:pt>
                <c:pt idx="225">
                  <c:v>386.34716440177436</c:v>
                </c:pt>
                <c:pt idx="226">
                  <c:v>393.53118999260755</c:v>
                </c:pt>
                <c:pt idx="227">
                  <c:v>383.7147865948981</c:v>
                </c:pt>
                <c:pt idx="228">
                  <c:v>396.01078127392782</c:v>
                </c:pt>
                <c:pt idx="229">
                  <c:v>395.34238302818562</c:v>
                </c:pt>
                <c:pt idx="230">
                  <c:v>395.34150942619522</c:v>
                </c:pt>
                <c:pt idx="231">
                  <c:v>404.74775723925075</c:v>
                </c:pt>
                <c:pt idx="232">
                  <c:v>401.33890424512936</c:v>
                </c:pt>
                <c:pt idx="233">
                  <c:v>406.04159135066203</c:v>
                </c:pt>
                <c:pt idx="234">
                  <c:v>408.52205623397219</c:v>
                </c:pt>
                <c:pt idx="235">
                  <c:v>413.74297586566189</c:v>
                </c:pt>
                <c:pt idx="236">
                  <c:v>416.22344074897222</c:v>
                </c:pt>
                <c:pt idx="237">
                  <c:v>418.96302189536101</c:v>
                </c:pt>
                <c:pt idx="238">
                  <c:v>417.2581585973054</c:v>
                </c:pt>
                <c:pt idx="239">
                  <c:v>428.62751236950453</c:v>
                </c:pt>
                <c:pt idx="240">
                  <c:v>429.66310381982782</c:v>
                </c:pt>
                <c:pt idx="241">
                  <c:v>425.7360182995497</c:v>
                </c:pt>
                <c:pt idx="242">
                  <c:v>437.3644883348274</c:v>
                </c:pt>
                <c:pt idx="243">
                  <c:v>439.32672069198088</c:v>
                </c:pt>
                <c:pt idx="244">
                  <c:v>437.88097365700361</c:v>
                </c:pt>
                <c:pt idx="245">
                  <c:v>445.32411551091536</c:v>
                </c:pt>
                <c:pt idx="246">
                  <c:v>450.28591887952632</c:v>
                </c:pt>
                <c:pt idx="247">
                  <c:v>450.54416154061454</c:v>
                </c:pt>
                <c:pt idx="248">
                  <c:v>455.50596490922527</c:v>
                </c:pt>
                <c:pt idx="249">
                  <c:v>454.31933413732634</c:v>
                </c:pt>
                <c:pt idx="250">
                  <c:v>456.79979902063667</c:v>
                </c:pt>
                <c:pt idx="251">
                  <c:v>456.7989254186466</c:v>
                </c:pt>
                <c:pt idx="252">
                  <c:v>459.79762282811345</c:v>
                </c:pt>
                <c:pt idx="253">
                  <c:v>460.05586548920166</c:v>
                </c:pt>
                <c:pt idx="254">
                  <c:v>459.12835098038101</c:v>
                </c:pt>
                <c:pt idx="255">
                  <c:v>459.9048261676258</c:v>
                </c:pt>
                <c:pt idx="256">
                  <c:v>466.57061923230265</c:v>
                </c:pt>
                <c:pt idx="257">
                  <c:v>467.08797815646915</c:v>
                </c:pt>
                <c:pt idx="258">
                  <c:v>474.27200374730234</c:v>
                </c:pt>
                <c:pt idx="259">
                  <c:v>472.30802418616815</c:v>
                </c:pt>
                <c:pt idx="260">
                  <c:v>477.26982755477923</c:v>
                </c:pt>
                <c:pt idx="261">
                  <c:v>477.78718647894573</c:v>
                </c:pt>
                <c:pt idx="262">
                  <c:v>482.74898984755657</c:v>
                </c:pt>
                <c:pt idx="263">
                  <c:v>479.34013685343535</c:v>
                </c:pt>
                <c:pt idx="264">
                  <c:v>486.26504618119014</c:v>
                </c:pt>
                <c:pt idx="265">
                  <c:v>487.04152136843516</c:v>
                </c:pt>
                <c:pt idx="266">
                  <c:v>495.92953665533355</c:v>
                </c:pt>
                <c:pt idx="267">
                  <c:v>494.74290588343456</c:v>
                </c:pt>
                <c:pt idx="268">
                  <c:v>499.44559298896729</c:v>
                </c:pt>
                <c:pt idx="269">
                  <c:v>502.18517413535591</c:v>
                </c:pt>
                <c:pt idx="270">
                  <c:v>504.92475528174464</c:v>
                </c:pt>
                <c:pt idx="271">
                  <c:v>507.40522016505548</c:v>
                </c:pt>
                <c:pt idx="272">
                  <c:v>512.62613979674506</c:v>
                </c:pt>
                <c:pt idx="273">
                  <c:v>515.10660468005517</c:v>
                </c:pt>
                <c:pt idx="274">
                  <c:v>517.58706956336573</c:v>
                </c:pt>
                <c:pt idx="275">
                  <c:v>518.62266101368868</c:v>
                </c:pt>
                <c:pt idx="276">
                  <c:v>525.80668660452193</c:v>
                </c:pt>
                <c:pt idx="277">
                  <c:v>528.02803522475392</c:v>
                </c:pt>
                <c:pt idx="278">
                  <c:v>530.2493838449858</c:v>
                </c:pt>
                <c:pt idx="279">
                  <c:v>525.39565741787771</c:v>
                </c:pt>
                <c:pt idx="280">
                  <c:v>537.69165209690732</c:v>
                </c:pt>
                <c:pt idx="281">
                  <c:v>530.35658718449804</c:v>
                </c:pt>
                <c:pt idx="282">
                  <c:v>538.05884530148796</c:v>
                </c:pt>
                <c:pt idx="283">
                  <c:v>543.42905705077283</c:v>
                </c:pt>
                <c:pt idx="284">
                  <c:v>542.76065880503074</c:v>
                </c:pt>
                <c:pt idx="285">
                  <c:v>540.79667924389628</c:v>
                </c:pt>
                <c:pt idx="286">
                  <c:v>550.72115958310849</c:v>
                </c:pt>
                <c:pt idx="287">
                  <c:v>548.49806375889591</c:v>
                </c:pt>
                <c:pt idx="288">
                  <c:v>547.57054925007549</c:v>
                </c:pt>
                <c:pt idx="289">
                  <c:v>555.94033201081709</c:v>
                </c:pt>
                <c:pt idx="290">
                  <c:v>552.53147901669615</c:v>
                </c:pt>
                <c:pt idx="291">
                  <c:v>559.71550460752951</c:v>
                </c:pt>
                <c:pt idx="292">
                  <c:v>557.23329252023916</c:v>
                </c:pt>
                <c:pt idx="293">
                  <c:v>558.52800023364068</c:v>
                </c:pt>
                <c:pt idx="294">
                  <c:v>562.97157107609473</c:v>
                </c:pt>
                <c:pt idx="295">
                  <c:v>565.71115222248352</c:v>
                </c:pt>
                <c:pt idx="296">
                  <c:v>566.22851114665002</c:v>
                </c:pt>
                <c:pt idx="297">
                  <c:v>570.93119825218275</c:v>
                </c:pt>
                <c:pt idx="298">
                  <c:v>569.74456748028354</c:v>
                </c:pt>
                <c:pt idx="299">
                  <c:v>572.48414862667232</c:v>
                </c:pt>
                <c:pt idx="300">
                  <c:v>581.63128017664928</c:v>
                </c:pt>
                <c:pt idx="301">
                  <c:v>576.00020496030572</c:v>
                </c:pt>
                <c:pt idx="302">
                  <c:v>578.4806698436164</c:v>
                </c:pt>
                <c:pt idx="303">
                  <c:v>579.51626129393935</c:v>
                </c:pt>
                <c:pt idx="304">
                  <c:v>578.07051425896202</c:v>
                </c:pt>
                <c:pt idx="305">
                  <c:v>587.73587833509566</c:v>
                </c:pt>
                <c:pt idx="306">
                  <c:v>586.18030715463533</c:v>
                </c:pt>
                <c:pt idx="307">
                  <c:v>587.99324739419376</c:v>
                </c:pt>
                <c:pt idx="308">
                  <c:v>592.95505076280449</c:v>
                </c:pt>
                <c:pt idx="309">
                  <c:v>600.3981926167163</c:v>
                </c:pt>
                <c:pt idx="310">
                  <c:v>596.98933962259457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88-4D0F-AC13-6E9AD96E2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680016"/>
        <c:axId val="568682512"/>
      </c:scatterChart>
      <c:valAx>
        <c:axId val="568680016"/>
        <c:scaling>
          <c:orientation val="minMax"/>
          <c:max val="260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2512"/>
        <c:crosses val="autoZero"/>
        <c:crossBetween val="midCat"/>
      </c:valAx>
      <c:valAx>
        <c:axId val="568682512"/>
        <c:scaling>
          <c:orientation val="minMax"/>
          <c:max val="40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ENO3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00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37272745059768581"/>
          <c:y val="0.16378563447227515"/>
          <c:w val="0.4301829778969114"/>
          <c:h val="0.190584161448407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Tank water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098265377363579"/>
          <c:y val="0.13506500136128505"/>
          <c:w val="0.76768397407968225"/>
          <c:h val="0.81541116480624376"/>
        </c:manualLayout>
      </c:layout>
      <c:scatterChart>
        <c:scatterStyle val="lineMarker"/>
        <c:varyColors val="0"/>
        <c:ser>
          <c:idx val="0"/>
          <c:order val="0"/>
          <c:tx>
            <c:v>Abs measured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blank!$O$9:$O$319</c:f>
              <c:numCache>
                <c:formatCode>General</c:formatCode>
                <c:ptCount val="311"/>
                <c:pt idx="0">
                  <c:v>2.0608</c:v>
                </c:pt>
                <c:pt idx="1">
                  <c:v>2.1627000000000001</c:v>
                </c:pt>
                <c:pt idx="2">
                  <c:v>2.3374999999999999</c:v>
                </c:pt>
                <c:pt idx="3">
                  <c:v>2.468</c:v>
                </c:pt>
                <c:pt idx="4">
                  <c:v>2.5226999999999999</c:v>
                </c:pt>
                <c:pt idx="5">
                  <c:v>2.5466000000000002</c:v>
                </c:pt>
                <c:pt idx="6">
                  <c:v>2.5912999999999999</c:v>
                </c:pt>
                <c:pt idx="7">
                  <c:v>2.6440000000000001</c:v>
                </c:pt>
                <c:pt idx="8">
                  <c:v>2.6876000000000002</c:v>
                </c:pt>
                <c:pt idx="9">
                  <c:v>2.6541000000000001</c:v>
                </c:pt>
                <c:pt idx="10">
                  <c:v>2.5931000000000002</c:v>
                </c:pt>
                <c:pt idx="11">
                  <c:v>2.5716000000000001</c:v>
                </c:pt>
                <c:pt idx="12">
                  <c:v>2.6017999999999999</c:v>
                </c:pt>
                <c:pt idx="13">
                  <c:v>2.6259000000000001</c:v>
                </c:pt>
                <c:pt idx="14">
                  <c:v>2.6349</c:v>
                </c:pt>
                <c:pt idx="15">
                  <c:v>2.6252</c:v>
                </c:pt>
                <c:pt idx="16">
                  <c:v>2.5886999999999998</c:v>
                </c:pt>
                <c:pt idx="17">
                  <c:v>2.4598</c:v>
                </c:pt>
                <c:pt idx="18">
                  <c:v>2.1838000000000002</c:v>
                </c:pt>
                <c:pt idx="19">
                  <c:v>1.8742000000000001</c:v>
                </c:pt>
                <c:pt idx="20">
                  <c:v>1.5484</c:v>
                </c:pt>
                <c:pt idx="21">
                  <c:v>1.2289000000000001</c:v>
                </c:pt>
                <c:pt idx="22">
                  <c:v>0.97570000000000001</c:v>
                </c:pt>
                <c:pt idx="23">
                  <c:v>0.73770000000000002</c:v>
                </c:pt>
                <c:pt idx="24">
                  <c:v>0.56159999999999999</c:v>
                </c:pt>
                <c:pt idx="25">
                  <c:v>0.42370000000000002</c:v>
                </c:pt>
                <c:pt idx="26">
                  <c:v>0.3221</c:v>
                </c:pt>
                <c:pt idx="27">
                  <c:v>0.24360000000000001</c:v>
                </c:pt>
                <c:pt idx="28">
                  <c:v>0.18310000000000001</c:v>
                </c:pt>
                <c:pt idx="29">
                  <c:v>0.13689999999999999</c:v>
                </c:pt>
                <c:pt idx="30">
                  <c:v>0.10440000000000001</c:v>
                </c:pt>
                <c:pt idx="31">
                  <c:v>8.0199999999999994E-2</c:v>
                </c:pt>
                <c:pt idx="32">
                  <c:v>6.3200000000000006E-2</c:v>
                </c:pt>
                <c:pt idx="33">
                  <c:v>5.1200000000000002E-2</c:v>
                </c:pt>
                <c:pt idx="34">
                  <c:v>4.1099999999999998E-2</c:v>
                </c:pt>
                <c:pt idx="35">
                  <c:v>3.3500000000000002E-2</c:v>
                </c:pt>
                <c:pt idx="36">
                  <c:v>2.8400000000000002E-2</c:v>
                </c:pt>
                <c:pt idx="37">
                  <c:v>2.46E-2</c:v>
                </c:pt>
                <c:pt idx="38">
                  <c:v>2.18E-2</c:v>
                </c:pt>
                <c:pt idx="39">
                  <c:v>2.0299999999999999E-2</c:v>
                </c:pt>
                <c:pt idx="40">
                  <c:v>1.89E-2</c:v>
                </c:pt>
                <c:pt idx="41">
                  <c:v>1.7299999999999999E-2</c:v>
                </c:pt>
                <c:pt idx="42">
                  <c:v>1.6500000000000001E-2</c:v>
                </c:pt>
                <c:pt idx="43">
                  <c:v>1.54E-2</c:v>
                </c:pt>
                <c:pt idx="44">
                  <c:v>1.47E-2</c:v>
                </c:pt>
                <c:pt idx="45">
                  <c:v>1.43E-2</c:v>
                </c:pt>
                <c:pt idx="46">
                  <c:v>1.37E-2</c:v>
                </c:pt>
                <c:pt idx="47">
                  <c:v>1.3299999999999999E-2</c:v>
                </c:pt>
                <c:pt idx="48">
                  <c:v>1.2800000000000001E-2</c:v>
                </c:pt>
                <c:pt idx="49">
                  <c:v>1.2E-2</c:v>
                </c:pt>
                <c:pt idx="50">
                  <c:v>1.1900000000000001E-2</c:v>
                </c:pt>
                <c:pt idx="51">
                  <c:v>1.1599999999999999E-2</c:v>
                </c:pt>
                <c:pt idx="52">
                  <c:v>1.1299999999999999E-2</c:v>
                </c:pt>
                <c:pt idx="53">
                  <c:v>1.11E-2</c:v>
                </c:pt>
                <c:pt idx="54">
                  <c:v>1.0999999999999999E-2</c:v>
                </c:pt>
                <c:pt idx="55">
                  <c:v>1.0800000000000001E-2</c:v>
                </c:pt>
                <c:pt idx="56">
                  <c:v>1.06E-2</c:v>
                </c:pt>
                <c:pt idx="57">
                  <c:v>1.0699999999999999E-2</c:v>
                </c:pt>
                <c:pt idx="58">
                  <c:v>1.0699999999999999E-2</c:v>
                </c:pt>
                <c:pt idx="59">
                  <c:v>1.06E-2</c:v>
                </c:pt>
                <c:pt idx="60">
                  <c:v>1.04E-2</c:v>
                </c:pt>
                <c:pt idx="61">
                  <c:v>1.03E-2</c:v>
                </c:pt>
                <c:pt idx="62">
                  <c:v>1.03E-2</c:v>
                </c:pt>
                <c:pt idx="63">
                  <c:v>1.0500000000000001E-2</c:v>
                </c:pt>
                <c:pt idx="64">
                  <c:v>1.0500000000000001E-2</c:v>
                </c:pt>
                <c:pt idx="65">
                  <c:v>1.0500000000000001E-2</c:v>
                </c:pt>
                <c:pt idx="66">
                  <c:v>1.03E-2</c:v>
                </c:pt>
                <c:pt idx="67">
                  <c:v>1.03E-2</c:v>
                </c:pt>
                <c:pt idx="68">
                  <c:v>1.0200000000000001E-2</c:v>
                </c:pt>
                <c:pt idx="69">
                  <c:v>0.01</c:v>
                </c:pt>
                <c:pt idx="70">
                  <c:v>1.0200000000000001E-2</c:v>
                </c:pt>
                <c:pt idx="71">
                  <c:v>1.01E-2</c:v>
                </c:pt>
                <c:pt idx="72">
                  <c:v>1.01E-2</c:v>
                </c:pt>
                <c:pt idx="73">
                  <c:v>1.01E-2</c:v>
                </c:pt>
                <c:pt idx="74">
                  <c:v>9.9000000000000008E-3</c:v>
                </c:pt>
                <c:pt idx="75">
                  <c:v>0.01</c:v>
                </c:pt>
                <c:pt idx="76">
                  <c:v>9.7999999999999997E-3</c:v>
                </c:pt>
                <c:pt idx="77">
                  <c:v>9.7000000000000003E-3</c:v>
                </c:pt>
                <c:pt idx="78">
                  <c:v>9.7000000000000003E-3</c:v>
                </c:pt>
                <c:pt idx="79">
                  <c:v>9.5999999999999992E-3</c:v>
                </c:pt>
                <c:pt idx="80">
                  <c:v>9.4999999999999998E-3</c:v>
                </c:pt>
                <c:pt idx="81">
                  <c:v>9.2999999999999992E-3</c:v>
                </c:pt>
                <c:pt idx="82">
                  <c:v>9.4000000000000004E-3</c:v>
                </c:pt>
                <c:pt idx="83">
                  <c:v>9.2999999999999992E-3</c:v>
                </c:pt>
                <c:pt idx="84">
                  <c:v>9.2999999999999992E-3</c:v>
                </c:pt>
                <c:pt idx="85">
                  <c:v>8.9999999999999993E-3</c:v>
                </c:pt>
                <c:pt idx="86">
                  <c:v>8.6999999999999994E-3</c:v>
                </c:pt>
                <c:pt idx="87">
                  <c:v>8.8000000000000005E-3</c:v>
                </c:pt>
                <c:pt idx="88">
                  <c:v>8.6999999999999994E-3</c:v>
                </c:pt>
                <c:pt idx="89">
                  <c:v>8.9999999999999993E-3</c:v>
                </c:pt>
                <c:pt idx="90">
                  <c:v>8.6E-3</c:v>
                </c:pt>
                <c:pt idx="91">
                  <c:v>8.3999999999999995E-3</c:v>
                </c:pt>
                <c:pt idx="92">
                  <c:v>8.3000000000000001E-3</c:v>
                </c:pt>
                <c:pt idx="93">
                  <c:v>8.0999999999999996E-3</c:v>
                </c:pt>
                <c:pt idx="94">
                  <c:v>8.2000000000000007E-3</c:v>
                </c:pt>
                <c:pt idx="95">
                  <c:v>7.7000000000000002E-3</c:v>
                </c:pt>
                <c:pt idx="96">
                  <c:v>7.9000000000000008E-3</c:v>
                </c:pt>
                <c:pt idx="97">
                  <c:v>7.7999999999999996E-3</c:v>
                </c:pt>
                <c:pt idx="98">
                  <c:v>7.7999999999999996E-3</c:v>
                </c:pt>
                <c:pt idx="99">
                  <c:v>7.4000000000000003E-3</c:v>
                </c:pt>
                <c:pt idx="100">
                  <c:v>7.4000000000000003E-3</c:v>
                </c:pt>
                <c:pt idx="101">
                  <c:v>7.1999999999999998E-3</c:v>
                </c:pt>
                <c:pt idx="102">
                  <c:v>6.8999999999999999E-3</c:v>
                </c:pt>
                <c:pt idx="103">
                  <c:v>6.7000000000000002E-3</c:v>
                </c:pt>
                <c:pt idx="104">
                  <c:v>6.6E-3</c:v>
                </c:pt>
                <c:pt idx="105">
                  <c:v>6.7000000000000002E-3</c:v>
                </c:pt>
                <c:pt idx="106">
                  <c:v>6.4000000000000003E-3</c:v>
                </c:pt>
                <c:pt idx="107">
                  <c:v>6.4000000000000003E-3</c:v>
                </c:pt>
                <c:pt idx="108">
                  <c:v>6.4000000000000003E-3</c:v>
                </c:pt>
                <c:pt idx="109">
                  <c:v>6.1999999999999998E-3</c:v>
                </c:pt>
                <c:pt idx="110">
                  <c:v>6.1000000000000004E-3</c:v>
                </c:pt>
                <c:pt idx="111">
                  <c:v>6.1000000000000004E-3</c:v>
                </c:pt>
                <c:pt idx="112">
                  <c:v>5.5999999999999999E-3</c:v>
                </c:pt>
                <c:pt idx="113">
                  <c:v>6.0000000000000001E-3</c:v>
                </c:pt>
                <c:pt idx="114">
                  <c:v>5.5999999999999999E-3</c:v>
                </c:pt>
                <c:pt idx="115">
                  <c:v>5.3E-3</c:v>
                </c:pt>
                <c:pt idx="116">
                  <c:v>5.4000000000000003E-3</c:v>
                </c:pt>
                <c:pt idx="117">
                  <c:v>5.1000000000000004E-3</c:v>
                </c:pt>
                <c:pt idx="118">
                  <c:v>4.8999999999999998E-3</c:v>
                </c:pt>
                <c:pt idx="119">
                  <c:v>5.0000000000000001E-3</c:v>
                </c:pt>
                <c:pt idx="120">
                  <c:v>4.7999999999999996E-3</c:v>
                </c:pt>
                <c:pt idx="121">
                  <c:v>5.0000000000000001E-3</c:v>
                </c:pt>
                <c:pt idx="122">
                  <c:v>4.7999999999999996E-3</c:v>
                </c:pt>
                <c:pt idx="123">
                  <c:v>4.8999999999999998E-3</c:v>
                </c:pt>
                <c:pt idx="124">
                  <c:v>4.4000000000000003E-3</c:v>
                </c:pt>
                <c:pt idx="125">
                  <c:v>4.4000000000000003E-3</c:v>
                </c:pt>
                <c:pt idx="126">
                  <c:v>4.4999999999999997E-3</c:v>
                </c:pt>
                <c:pt idx="127">
                  <c:v>4.1999999999999997E-3</c:v>
                </c:pt>
                <c:pt idx="128">
                  <c:v>4.1000000000000003E-3</c:v>
                </c:pt>
                <c:pt idx="129">
                  <c:v>3.8999999999999998E-3</c:v>
                </c:pt>
                <c:pt idx="130">
                  <c:v>4.0000000000000001E-3</c:v>
                </c:pt>
                <c:pt idx="131">
                  <c:v>4.3E-3</c:v>
                </c:pt>
                <c:pt idx="132">
                  <c:v>3.8999999999999998E-3</c:v>
                </c:pt>
                <c:pt idx="133">
                  <c:v>3.8999999999999998E-3</c:v>
                </c:pt>
                <c:pt idx="134">
                  <c:v>3.3999999999999998E-3</c:v>
                </c:pt>
                <c:pt idx="135">
                  <c:v>3.5000000000000001E-3</c:v>
                </c:pt>
                <c:pt idx="136">
                  <c:v>3.3999999999999998E-3</c:v>
                </c:pt>
                <c:pt idx="137">
                  <c:v>3.5999999999999999E-3</c:v>
                </c:pt>
                <c:pt idx="138">
                  <c:v>3.3999999999999998E-3</c:v>
                </c:pt>
                <c:pt idx="139">
                  <c:v>3.5000000000000001E-3</c:v>
                </c:pt>
                <c:pt idx="140">
                  <c:v>3.3999999999999998E-3</c:v>
                </c:pt>
                <c:pt idx="141">
                  <c:v>3.3999999999999998E-3</c:v>
                </c:pt>
                <c:pt idx="142">
                  <c:v>3.3999999999999998E-3</c:v>
                </c:pt>
                <c:pt idx="143">
                  <c:v>3.0999999999999999E-3</c:v>
                </c:pt>
                <c:pt idx="144">
                  <c:v>2.8E-3</c:v>
                </c:pt>
                <c:pt idx="145">
                  <c:v>2.7000000000000001E-3</c:v>
                </c:pt>
                <c:pt idx="146">
                  <c:v>3.0999999999999999E-3</c:v>
                </c:pt>
                <c:pt idx="147">
                  <c:v>3.0000000000000001E-3</c:v>
                </c:pt>
                <c:pt idx="148">
                  <c:v>2.8999999999999998E-3</c:v>
                </c:pt>
                <c:pt idx="149">
                  <c:v>2.7000000000000001E-3</c:v>
                </c:pt>
                <c:pt idx="150">
                  <c:v>3.0999999999999999E-3</c:v>
                </c:pt>
                <c:pt idx="151">
                  <c:v>2.5999999999999999E-3</c:v>
                </c:pt>
                <c:pt idx="152">
                  <c:v>2.8999999999999998E-3</c:v>
                </c:pt>
                <c:pt idx="153">
                  <c:v>2.5000000000000001E-3</c:v>
                </c:pt>
                <c:pt idx="154">
                  <c:v>2.7000000000000001E-3</c:v>
                </c:pt>
                <c:pt idx="155">
                  <c:v>2.7000000000000001E-3</c:v>
                </c:pt>
                <c:pt idx="156">
                  <c:v>2.8E-3</c:v>
                </c:pt>
                <c:pt idx="157">
                  <c:v>2.7000000000000001E-3</c:v>
                </c:pt>
                <c:pt idx="158">
                  <c:v>2.2000000000000001E-3</c:v>
                </c:pt>
                <c:pt idx="159">
                  <c:v>2.5999999999999999E-3</c:v>
                </c:pt>
                <c:pt idx="160">
                  <c:v>2.5000000000000001E-3</c:v>
                </c:pt>
                <c:pt idx="161">
                  <c:v>2.0999999999999999E-3</c:v>
                </c:pt>
                <c:pt idx="162">
                  <c:v>2.7000000000000001E-3</c:v>
                </c:pt>
                <c:pt idx="163">
                  <c:v>2.8E-3</c:v>
                </c:pt>
                <c:pt idx="164">
                  <c:v>2.8E-3</c:v>
                </c:pt>
                <c:pt idx="165">
                  <c:v>2.3999999999999998E-3</c:v>
                </c:pt>
                <c:pt idx="166">
                  <c:v>2.2000000000000001E-3</c:v>
                </c:pt>
                <c:pt idx="167">
                  <c:v>2.5000000000000001E-3</c:v>
                </c:pt>
                <c:pt idx="168">
                  <c:v>2.3999999999999998E-3</c:v>
                </c:pt>
                <c:pt idx="169">
                  <c:v>2.3E-3</c:v>
                </c:pt>
                <c:pt idx="170">
                  <c:v>2.2000000000000001E-3</c:v>
                </c:pt>
                <c:pt idx="171">
                  <c:v>2.0999999999999999E-3</c:v>
                </c:pt>
                <c:pt idx="172">
                  <c:v>2.3999999999999998E-3</c:v>
                </c:pt>
                <c:pt idx="173">
                  <c:v>2.3999999999999998E-3</c:v>
                </c:pt>
                <c:pt idx="174">
                  <c:v>2.0999999999999999E-3</c:v>
                </c:pt>
                <c:pt idx="175">
                  <c:v>2.3E-3</c:v>
                </c:pt>
                <c:pt idx="176">
                  <c:v>2.2000000000000001E-3</c:v>
                </c:pt>
                <c:pt idx="177">
                  <c:v>2.2000000000000001E-3</c:v>
                </c:pt>
                <c:pt idx="178">
                  <c:v>1.9E-3</c:v>
                </c:pt>
                <c:pt idx="179">
                  <c:v>2.0999999999999999E-3</c:v>
                </c:pt>
                <c:pt idx="180">
                  <c:v>2.3E-3</c:v>
                </c:pt>
                <c:pt idx="181">
                  <c:v>1.8E-3</c:v>
                </c:pt>
                <c:pt idx="182">
                  <c:v>1.9E-3</c:v>
                </c:pt>
                <c:pt idx="183">
                  <c:v>1.6999999999999999E-3</c:v>
                </c:pt>
                <c:pt idx="184">
                  <c:v>1.8E-3</c:v>
                </c:pt>
                <c:pt idx="185">
                  <c:v>2.3E-3</c:v>
                </c:pt>
                <c:pt idx="186">
                  <c:v>2E-3</c:v>
                </c:pt>
                <c:pt idx="187">
                  <c:v>1.6000000000000001E-3</c:v>
                </c:pt>
                <c:pt idx="188">
                  <c:v>1.9E-3</c:v>
                </c:pt>
                <c:pt idx="189">
                  <c:v>1.9E-3</c:v>
                </c:pt>
                <c:pt idx="190">
                  <c:v>1.6999999999999999E-3</c:v>
                </c:pt>
                <c:pt idx="191">
                  <c:v>2E-3</c:v>
                </c:pt>
                <c:pt idx="192">
                  <c:v>2E-3</c:v>
                </c:pt>
                <c:pt idx="193">
                  <c:v>1.5E-3</c:v>
                </c:pt>
                <c:pt idx="194">
                  <c:v>2E-3</c:v>
                </c:pt>
                <c:pt idx="195">
                  <c:v>1.5E-3</c:v>
                </c:pt>
                <c:pt idx="196">
                  <c:v>1.8E-3</c:v>
                </c:pt>
                <c:pt idx="197">
                  <c:v>1.8E-3</c:v>
                </c:pt>
                <c:pt idx="198">
                  <c:v>1.2999999999999999E-3</c:v>
                </c:pt>
                <c:pt idx="199">
                  <c:v>1.6999999999999999E-3</c:v>
                </c:pt>
                <c:pt idx="200">
                  <c:v>1.6000000000000001E-3</c:v>
                </c:pt>
                <c:pt idx="201">
                  <c:v>1.9E-3</c:v>
                </c:pt>
                <c:pt idx="202">
                  <c:v>1.6999999999999999E-3</c:v>
                </c:pt>
                <c:pt idx="203">
                  <c:v>1.8E-3</c:v>
                </c:pt>
                <c:pt idx="204">
                  <c:v>2.0999999999999999E-3</c:v>
                </c:pt>
                <c:pt idx="205">
                  <c:v>1.6000000000000001E-3</c:v>
                </c:pt>
                <c:pt idx="206">
                  <c:v>1.5E-3</c:v>
                </c:pt>
                <c:pt idx="207">
                  <c:v>1.1999999999999999E-3</c:v>
                </c:pt>
                <c:pt idx="208">
                  <c:v>1.9E-3</c:v>
                </c:pt>
                <c:pt idx="209">
                  <c:v>1.6000000000000001E-3</c:v>
                </c:pt>
                <c:pt idx="210">
                  <c:v>1.8E-3</c:v>
                </c:pt>
                <c:pt idx="211">
                  <c:v>1.2999999999999999E-3</c:v>
                </c:pt>
                <c:pt idx="212">
                  <c:v>1.4E-3</c:v>
                </c:pt>
                <c:pt idx="213">
                  <c:v>1.1999999999999999E-3</c:v>
                </c:pt>
                <c:pt idx="214">
                  <c:v>1.6000000000000001E-3</c:v>
                </c:pt>
                <c:pt idx="215">
                  <c:v>1.6999999999999999E-3</c:v>
                </c:pt>
                <c:pt idx="216">
                  <c:v>1.5E-3</c:v>
                </c:pt>
                <c:pt idx="217">
                  <c:v>1.2999999999999999E-3</c:v>
                </c:pt>
                <c:pt idx="218">
                  <c:v>1.5E-3</c:v>
                </c:pt>
                <c:pt idx="219">
                  <c:v>1.6000000000000001E-3</c:v>
                </c:pt>
                <c:pt idx="220">
                  <c:v>1.8E-3</c:v>
                </c:pt>
                <c:pt idx="221">
                  <c:v>1.4E-3</c:v>
                </c:pt>
                <c:pt idx="222">
                  <c:v>1.2999999999999999E-3</c:v>
                </c:pt>
                <c:pt idx="223">
                  <c:v>1.5E-3</c:v>
                </c:pt>
                <c:pt idx="224">
                  <c:v>1.4E-3</c:v>
                </c:pt>
                <c:pt idx="225">
                  <c:v>1.2999999999999999E-3</c:v>
                </c:pt>
                <c:pt idx="226">
                  <c:v>1.5E-3</c:v>
                </c:pt>
                <c:pt idx="227">
                  <c:v>1.4E-3</c:v>
                </c:pt>
                <c:pt idx="228">
                  <c:v>8.9999999999999998E-4</c:v>
                </c:pt>
                <c:pt idx="229">
                  <c:v>1.2999999999999999E-3</c:v>
                </c:pt>
                <c:pt idx="230">
                  <c:v>1.1999999999999999E-3</c:v>
                </c:pt>
                <c:pt idx="231">
                  <c:v>1.1999999999999999E-3</c:v>
                </c:pt>
                <c:pt idx="232">
                  <c:v>1.5E-3</c:v>
                </c:pt>
                <c:pt idx="233">
                  <c:v>1.5E-3</c:v>
                </c:pt>
                <c:pt idx="234">
                  <c:v>1.1999999999999999E-3</c:v>
                </c:pt>
                <c:pt idx="235">
                  <c:v>1.5E-3</c:v>
                </c:pt>
                <c:pt idx="236">
                  <c:v>1.1999999999999999E-3</c:v>
                </c:pt>
                <c:pt idx="237">
                  <c:v>1.4E-3</c:v>
                </c:pt>
                <c:pt idx="238">
                  <c:v>1.4E-3</c:v>
                </c:pt>
                <c:pt idx="239">
                  <c:v>1.4E-3</c:v>
                </c:pt>
                <c:pt idx="240">
                  <c:v>1.1000000000000001E-3</c:v>
                </c:pt>
                <c:pt idx="241">
                  <c:v>1E-3</c:v>
                </c:pt>
                <c:pt idx="242">
                  <c:v>1.1000000000000001E-3</c:v>
                </c:pt>
                <c:pt idx="243">
                  <c:v>1.1999999999999999E-3</c:v>
                </c:pt>
                <c:pt idx="244">
                  <c:v>1.1000000000000001E-3</c:v>
                </c:pt>
                <c:pt idx="245">
                  <c:v>1.1999999999999999E-3</c:v>
                </c:pt>
                <c:pt idx="246">
                  <c:v>1.1999999999999999E-3</c:v>
                </c:pt>
                <c:pt idx="247">
                  <c:v>1.1000000000000001E-3</c:v>
                </c:pt>
                <c:pt idx="248">
                  <c:v>1.2999999999999999E-3</c:v>
                </c:pt>
                <c:pt idx="249">
                  <c:v>1.1999999999999999E-3</c:v>
                </c:pt>
                <c:pt idx="250">
                  <c:v>1.1000000000000001E-3</c:v>
                </c:pt>
                <c:pt idx="251">
                  <c:v>1.1000000000000001E-3</c:v>
                </c:pt>
                <c:pt idx="252">
                  <c:v>1E-3</c:v>
                </c:pt>
                <c:pt idx="253">
                  <c:v>1E-3</c:v>
                </c:pt>
                <c:pt idx="254">
                  <c:v>1.1000000000000001E-3</c:v>
                </c:pt>
                <c:pt idx="255">
                  <c:v>1.1999999999999999E-3</c:v>
                </c:pt>
                <c:pt idx="256">
                  <c:v>8.0000000000000004E-4</c:v>
                </c:pt>
                <c:pt idx="257">
                  <c:v>1.1000000000000001E-3</c:v>
                </c:pt>
                <c:pt idx="258">
                  <c:v>1E-3</c:v>
                </c:pt>
                <c:pt idx="259">
                  <c:v>1E-3</c:v>
                </c:pt>
                <c:pt idx="260">
                  <c:v>8.9999999999999998E-4</c:v>
                </c:pt>
                <c:pt idx="261">
                  <c:v>8.0000000000000004E-4</c:v>
                </c:pt>
                <c:pt idx="262">
                  <c:v>1E-3</c:v>
                </c:pt>
                <c:pt idx="263">
                  <c:v>1E-3</c:v>
                </c:pt>
                <c:pt idx="264">
                  <c:v>1E-3</c:v>
                </c:pt>
                <c:pt idx="265">
                  <c:v>1E-3</c:v>
                </c:pt>
                <c:pt idx="266">
                  <c:v>8.0000000000000004E-4</c:v>
                </c:pt>
                <c:pt idx="267">
                  <c:v>1E-3</c:v>
                </c:pt>
                <c:pt idx="268">
                  <c:v>8.9999999999999998E-4</c:v>
                </c:pt>
                <c:pt idx="269">
                  <c:v>8.9999999999999998E-4</c:v>
                </c:pt>
                <c:pt idx="270">
                  <c:v>8.9999999999999998E-4</c:v>
                </c:pt>
                <c:pt idx="271">
                  <c:v>8.9999999999999998E-4</c:v>
                </c:pt>
                <c:pt idx="272">
                  <c:v>1E-3</c:v>
                </c:pt>
                <c:pt idx="273">
                  <c:v>8.9999999999999998E-4</c:v>
                </c:pt>
                <c:pt idx="274">
                  <c:v>1E-3</c:v>
                </c:pt>
                <c:pt idx="275">
                  <c:v>1E-3</c:v>
                </c:pt>
                <c:pt idx="276">
                  <c:v>8.0000000000000004E-4</c:v>
                </c:pt>
                <c:pt idx="277">
                  <c:v>8.9999999999999998E-4</c:v>
                </c:pt>
                <c:pt idx="278">
                  <c:v>5.0000000000000001E-4</c:v>
                </c:pt>
                <c:pt idx="279">
                  <c:v>8.0000000000000004E-4</c:v>
                </c:pt>
                <c:pt idx="280">
                  <c:v>6.9999999999999999E-4</c:v>
                </c:pt>
                <c:pt idx="281">
                  <c:v>6.9999999999999999E-4</c:v>
                </c:pt>
                <c:pt idx="282">
                  <c:v>6.9999999999999999E-4</c:v>
                </c:pt>
                <c:pt idx="283">
                  <c:v>6.9999999999999999E-4</c:v>
                </c:pt>
                <c:pt idx="284">
                  <c:v>6.9999999999999999E-4</c:v>
                </c:pt>
                <c:pt idx="285">
                  <c:v>4.0000000000000002E-4</c:v>
                </c:pt>
                <c:pt idx="286">
                  <c:v>8.9999999999999998E-4</c:v>
                </c:pt>
                <c:pt idx="287">
                  <c:v>5.9999999999999995E-4</c:v>
                </c:pt>
                <c:pt idx="288">
                  <c:v>6.9999999999999999E-4</c:v>
                </c:pt>
                <c:pt idx="289">
                  <c:v>4.0000000000000002E-4</c:v>
                </c:pt>
                <c:pt idx="290">
                  <c:v>5.0000000000000001E-4</c:v>
                </c:pt>
                <c:pt idx="291">
                  <c:v>6.9999999999999999E-4</c:v>
                </c:pt>
                <c:pt idx="292">
                  <c:v>5.0000000000000001E-4</c:v>
                </c:pt>
                <c:pt idx="293">
                  <c:v>5.9999999999999995E-4</c:v>
                </c:pt>
                <c:pt idx="294">
                  <c:v>5.9999999999999995E-4</c:v>
                </c:pt>
                <c:pt idx="295">
                  <c:v>4.0000000000000002E-4</c:v>
                </c:pt>
                <c:pt idx="296">
                  <c:v>6.9999999999999999E-4</c:v>
                </c:pt>
                <c:pt idx="297">
                  <c:v>5.0000000000000001E-4</c:v>
                </c:pt>
                <c:pt idx="298">
                  <c:v>5.0000000000000001E-4</c:v>
                </c:pt>
                <c:pt idx="299">
                  <c:v>5.9999999999999995E-4</c:v>
                </c:pt>
                <c:pt idx="300">
                  <c:v>5.9999999999999995E-4</c:v>
                </c:pt>
                <c:pt idx="301">
                  <c:v>5.9999999999999995E-4</c:v>
                </c:pt>
                <c:pt idx="302">
                  <c:v>5.9999999999999995E-4</c:v>
                </c:pt>
                <c:pt idx="303">
                  <c:v>6.9999999999999999E-4</c:v>
                </c:pt>
                <c:pt idx="304">
                  <c:v>6.9999999999999999E-4</c:v>
                </c:pt>
                <c:pt idx="305">
                  <c:v>6.9999999999999999E-4</c:v>
                </c:pt>
                <c:pt idx="306">
                  <c:v>2.9999999999999997E-4</c:v>
                </c:pt>
                <c:pt idx="307">
                  <c:v>2.9999999999999997E-4</c:v>
                </c:pt>
                <c:pt idx="308">
                  <c:v>5.9999999999999995E-4</c:v>
                </c:pt>
                <c:pt idx="309">
                  <c:v>8.0000000000000004E-4</c:v>
                </c:pt>
                <c:pt idx="310">
                  <c:v>5.0000000000000001E-4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9C-4F34-A66D-ED11402628C8}"/>
            </c:ext>
          </c:extLst>
        </c:ser>
        <c:ser>
          <c:idx val="1"/>
          <c:order val="1"/>
          <c:tx>
            <c:v>Abs Baseline corrected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blank!$P$9:$P$319</c:f>
              <c:numCache>
                <c:formatCode>General</c:formatCode>
                <c:ptCount val="311"/>
                <c:pt idx="0">
                  <c:v>2.0459662337662339</c:v>
                </c:pt>
                <c:pt idx="1">
                  <c:v>2.1479358441558443</c:v>
                </c:pt>
                <c:pt idx="2">
                  <c:v>2.3228054545454544</c:v>
                </c:pt>
                <c:pt idx="3">
                  <c:v>2.4533750649350647</c:v>
                </c:pt>
                <c:pt idx="4">
                  <c:v>2.5081446753246754</c:v>
                </c:pt>
                <c:pt idx="5">
                  <c:v>2.532114285714286</c:v>
                </c:pt>
                <c:pt idx="6">
                  <c:v>2.576883896103896</c:v>
                </c:pt>
                <c:pt idx="7">
                  <c:v>2.6296535064935065</c:v>
                </c:pt>
                <c:pt idx="8">
                  <c:v>2.6733231168831173</c:v>
                </c:pt>
                <c:pt idx="9">
                  <c:v>2.6398927272727275</c:v>
                </c:pt>
                <c:pt idx="10">
                  <c:v>2.5789623376623378</c:v>
                </c:pt>
                <c:pt idx="11">
                  <c:v>2.5575319480519481</c:v>
                </c:pt>
                <c:pt idx="12">
                  <c:v>2.5878015584415581</c:v>
                </c:pt>
                <c:pt idx="13">
                  <c:v>2.6119711688311691</c:v>
                </c:pt>
                <c:pt idx="14">
                  <c:v>2.6210407792207793</c:v>
                </c:pt>
                <c:pt idx="15">
                  <c:v>2.6114103896103895</c:v>
                </c:pt>
                <c:pt idx="16">
                  <c:v>2.5749799999999996</c:v>
                </c:pt>
                <c:pt idx="17">
                  <c:v>2.4461496103896105</c:v>
                </c:pt>
                <c:pt idx="18">
                  <c:v>2.170219220779221</c:v>
                </c:pt>
                <c:pt idx="19">
                  <c:v>1.8606888311688312</c:v>
                </c:pt>
                <c:pt idx="20">
                  <c:v>1.5349584415584416</c:v>
                </c:pt>
                <c:pt idx="21">
                  <c:v>1.215528051948052</c:v>
                </c:pt>
                <c:pt idx="22">
                  <c:v>0.96239766233766233</c:v>
                </c:pt>
                <c:pt idx="23">
                  <c:v>0.72446727272727274</c:v>
                </c:pt>
                <c:pt idx="24">
                  <c:v>0.5484368831168831</c:v>
                </c:pt>
                <c:pt idx="25">
                  <c:v>0.41060649350649353</c:v>
                </c:pt>
                <c:pt idx="26">
                  <c:v>0.3090761038961039</c:v>
                </c:pt>
                <c:pt idx="27">
                  <c:v>0.23064571428571429</c:v>
                </c:pt>
                <c:pt idx="28">
                  <c:v>0.17021532467532469</c:v>
                </c:pt>
                <c:pt idx="29">
                  <c:v>0.12408493506493506</c:v>
                </c:pt>
                <c:pt idx="30">
                  <c:v>9.1654545454545461E-2</c:v>
                </c:pt>
                <c:pt idx="31">
                  <c:v>6.7524155844155831E-2</c:v>
                </c:pt>
                <c:pt idx="32">
                  <c:v>5.0593766233766241E-2</c:v>
                </c:pt>
                <c:pt idx="33">
                  <c:v>3.8663376623376627E-2</c:v>
                </c:pt>
                <c:pt idx="34">
                  <c:v>2.8632987012987013E-2</c:v>
                </c:pt>
                <c:pt idx="35">
                  <c:v>2.1102597402597404E-2</c:v>
                </c:pt>
                <c:pt idx="36">
                  <c:v>1.6072207792207794E-2</c:v>
                </c:pt>
                <c:pt idx="37">
                  <c:v>1.2341818181818183E-2</c:v>
                </c:pt>
                <c:pt idx="38">
                  <c:v>9.6114285714285728E-3</c:v>
                </c:pt>
                <c:pt idx="39">
                  <c:v>8.1810389610389618E-3</c:v>
                </c:pt>
                <c:pt idx="40">
                  <c:v>6.8506493506493502E-3</c:v>
                </c:pt>
                <c:pt idx="41">
                  <c:v>5.3202597402597397E-3</c:v>
                </c:pt>
                <c:pt idx="42">
                  <c:v>4.5898701298701314E-3</c:v>
                </c:pt>
                <c:pt idx="43">
                  <c:v>3.5594805194805214E-3</c:v>
                </c:pt>
                <c:pt idx="44">
                  <c:v>2.9290909090909107E-3</c:v>
                </c:pt>
                <c:pt idx="45">
                  <c:v>2.5987012987012982E-3</c:v>
                </c:pt>
                <c:pt idx="46">
                  <c:v>2.0683116883116887E-3</c:v>
                </c:pt>
                <c:pt idx="47">
                  <c:v>1.7379220779220779E-3</c:v>
                </c:pt>
                <c:pt idx="48">
                  <c:v>1.3075324675324695E-3</c:v>
                </c:pt>
                <c:pt idx="49">
                  <c:v>5.771428571428594E-4</c:v>
                </c:pt>
                <c:pt idx="50">
                  <c:v>5.4675324675324682E-4</c:v>
                </c:pt>
                <c:pt idx="51">
                  <c:v>3.1636363636363546E-4</c:v>
                </c:pt>
                <c:pt idx="52">
                  <c:v>8.5974025974025828E-5</c:v>
                </c:pt>
                <c:pt idx="53">
                  <c:v>-4.4415584415582673E-5</c:v>
                </c:pt>
                <c:pt idx="54">
                  <c:v>-7.4805194805196984E-5</c:v>
                </c:pt>
                <c:pt idx="55">
                  <c:v>-2.0519480519480549E-4</c:v>
                </c:pt>
                <c:pt idx="56">
                  <c:v>-3.3558441558441572E-4</c:v>
                </c:pt>
                <c:pt idx="57">
                  <c:v>-1.6597402597402604E-4</c:v>
                </c:pt>
                <c:pt idx="58">
                  <c:v>-9.6363636363635749E-5</c:v>
                </c:pt>
                <c:pt idx="59">
                  <c:v>-1.2675324675324832E-4</c:v>
                </c:pt>
                <c:pt idx="60">
                  <c:v>-2.5714285714285856E-4</c:v>
                </c:pt>
                <c:pt idx="61">
                  <c:v>-2.8753246753246767E-4</c:v>
                </c:pt>
                <c:pt idx="62">
                  <c:v>-2.1792207792207738E-4</c:v>
                </c:pt>
                <c:pt idx="63">
                  <c:v>5.1688311688313435E-5</c:v>
                </c:pt>
                <c:pt idx="64">
                  <c:v>1.2129870129870025E-4</c:v>
                </c:pt>
                <c:pt idx="65">
                  <c:v>1.9090909090909054E-4</c:v>
                </c:pt>
                <c:pt idx="66">
                  <c:v>6.0519480519480306E-5</c:v>
                </c:pt>
                <c:pt idx="67">
                  <c:v>1.301298701298706E-4</c:v>
                </c:pt>
                <c:pt idx="68">
                  <c:v>9.9740259740261489E-5</c:v>
                </c:pt>
                <c:pt idx="69">
                  <c:v>-3.0649350649352217E-5</c:v>
                </c:pt>
                <c:pt idx="70">
                  <c:v>2.389610389610386E-4</c:v>
                </c:pt>
                <c:pt idx="71">
                  <c:v>2.0857142857142776E-4</c:v>
                </c:pt>
                <c:pt idx="72">
                  <c:v>2.7818181818181804E-4</c:v>
                </c:pt>
                <c:pt idx="73">
                  <c:v>3.4779220779220833E-4</c:v>
                </c:pt>
                <c:pt idx="74">
                  <c:v>2.1740259740259636E-4</c:v>
                </c:pt>
                <c:pt idx="75">
                  <c:v>3.8701298701298605E-4</c:v>
                </c:pt>
                <c:pt idx="76">
                  <c:v>2.5662337662337581E-4</c:v>
                </c:pt>
                <c:pt idx="77">
                  <c:v>2.262337662337667E-4</c:v>
                </c:pt>
                <c:pt idx="78">
                  <c:v>2.9584415584415699E-4</c:v>
                </c:pt>
                <c:pt idx="79">
                  <c:v>2.6545454545454268E-4</c:v>
                </c:pt>
                <c:pt idx="80">
                  <c:v>2.3506493506493358E-4</c:v>
                </c:pt>
                <c:pt idx="81">
                  <c:v>1.0467532467532334E-4</c:v>
                </c:pt>
                <c:pt idx="82">
                  <c:v>2.7428571428571476E-4</c:v>
                </c:pt>
                <c:pt idx="83">
                  <c:v>2.4389610389610045E-4</c:v>
                </c:pt>
                <c:pt idx="84">
                  <c:v>3.1350649350649074E-4</c:v>
                </c:pt>
                <c:pt idx="85">
                  <c:v>8.3116883116881105E-5</c:v>
                </c:pt>
                <c:pt idx="86">
                  <c:v>-1.4727272727272853E-4</c:v>
                </c:pt>
                <c:pt idx="87">
                  <c:v>2.2337662337662892E-5</c:v>
                </c:pt>
                <c:pt idx="88">
                  <c:v>-8.0519480519514186E-6</c:v>
                </c:pt>
                <c:pt idx="89">
                  <c:v>3.6155844155843879E-4</c:v>
                </c:pt>
                <c:pt idx="90">
                  <c:v>3.1168831168829764E-5</c:v>
                </c:pt>
                <c:pt idx="91">
                  <c:v>-9.9220779220780472E-5</c:v>
                </c:pt>
                <c:pt idx="92">
                  <c:v>-1.2961038961038958E-4</c:v>
                </c:pt>
                <c:pt idx="93">
                  <c:v>-2.6000000000000328E-4</c:v>
                </c:pt>
                <c:pt idx="94">
                  <c:v>-9.0389610389611866E-5</c:v>
                </c:pt>
                <c:pt idx="95">
                  <c:v>-5.2077922077922202E-4</c:v>
                </c:pt>
                <c:pt idx="96">
                  <c:v>-2.5116883116883121E-4</c:v>
                </c:pt>
                <c:pt idx="97">
                  <c:v>-2.8155844155844205E-4</c:v>
                </c:pt>
                <c:pt idx="98">
                  <c:v>-2.1194805194805523E-4</c:v>
                </c:pt>
                <c:pt idx="99">
                  <c:v>-5.4233766233766426E-4</c:v>
                </c:pt>
                <c:pt idx="100">
                  <c:v>-4.7272727272727397E-4</c:v>
                </c:pt>
                <c:pt idx="101">
                  <c:v>-6.031168831168842E-4</c:v>
                </c:pt>
                <c:pt idx="102">
                  <c:v>-8.3350649350649383E-4</c:v>
                </c:pt>
                <c:pt idx="103">
                  <c:v>-9.6389610389610667E-4</c:v>
                </c:pt>
                <c:pt idx="104">
                  <c:v>-9.9428571428571665E-4</c:v>
                </c:pt>
                <c:pt idx="105">
                  <c:v>-8.2467532467532609E-4</c:v>
                </c:pt>
                <c:pt idx="106">
                  <c:v>-1.0550649350649357E-3</c:v>
                </c:pt>
                <c:pt idx="107">
                  <c:v>-9.8545454545454544E-4</c:v>
                </c:pt>
                <c:pt idx="108">
                  <c:v>-9.1584415584415862E-4</c:v>
                </c:pt>
                <c:pt idx="109">
                  <c:v>-1.0462337662337689E-3</c:v>
                </c:pt>
                <c:pt idx="110">
                  <c:v>-1.076623376623378E-3</c:v>
                </c:pt>
                <c:pt idx="111">
                  <c:v>-1.0070129870129877E-3</c:v>
                </c:pt>
                <c:pt idx="112">
                  <c:v>-1.4374025974026013E-3</c:v>
                </c:pt>
                <c:pt idx="113">
                  <c:v>-9.6779220779221083E-4</c:v>
                </c:pt>
                <c:pt idx="114">
                  <c:v>-1.2981818181818207E-3</c:v>
                </c:pt>
                <c:pt idx="115">
                  <c:v>-1.5285714285714304E-3</c:v>
                </c:pt>
                <c:pt idx="116">
                  <c:v>-1.3589610389610398E-3</c:v>
                </c:pt>
                <c:pt idx="117">
                  <c:v>-1.5893506493506529E-3</c:v>
                </c:pt>
                <c:pt idx="118">
                  <c:v>-1.7197402597402631E-3</c:v>
                </c:pt>
                <c:pt idx="119">
                  <c:v>-1.5501298701298726E-3</c:v>
                </c:pt>
                <c:pt idx="120">
                  <c:v>-1.6805194805194828E-3</c:v>
                </c:pt>
                <c:pt idx="121">
                  <c:v>-1.410909090909092E-3</c:v>
                </c:pt>
                <c:pt idx="122">
                  <c:v>-1.5412987012987057E-3</c:v>
                </c:pt>
                <c:pt idx="123">
                  <c:v>-1.3716883116883152E-3</c:v>
                </c:pt>
                <c:pt idx="124">
                  <c:v>-1.8020779220779245E-3</c:v>
                </c:pt>
                <c:pt idx="125">
                  <c:v>-1.7324675324675342E-3</c:v>
                </c:pt>
                <c:pt idx="126">
                  <c:v>-1.5628571428571445E-3</c:v>
                </c:pt>
                <c:pt idx="127">
                  <c:v>-1.7932467532467576E-3</c:v>
                </c:pt>
                <c:pt idx="128">
                  <c:v>-1.8236363636363667E-3</c:v>
                </c:pt>
                <c:pt idx="129">
                  <c:v>-1.9540259740259769E-3</c:v>
                </c:pt>
                <c:pt idx="130">
                  <c:v>-1.7844155844155864E-3</c:v>
                </c:pt>
                <c:pt idx="131">
                  <c:v>-1.4148051948051962E-3</c:v>
                </c:pt>
                <c:pt idx="132">
                  <c:v>-1.7451948051948095E-3</c:v>
                </c:pt>
                <c:pt idx="133">
                  <c:v>-1.6755844155844192E-3</c:v>
                </c:pt>
                <c:pt idx="134">
                  <c:v>-2.105974025974029E-3</c:v>
                </c:pt>
                <c:pt idx="135">
                  <c:v>-1.9363636363636384E-3</c:v>
                </c:pt>
                <c:pt idx="136">
                  <c:v>-1.9667532467532484E-3</c:v>
                </c:pt>
                <c:pt idx="137">
                  <c:v>-1.6971428571428615E-3</c:v>
                </c:pt>
                <c:pt idx="138">
                  <c:v>-1.8275324675324713E-3</c:v>
                </c:pt>
                <c:pt idx="139">
                  <c:v>-1.6579220779220807E-3</c:v>
                </c:pt>
                <c:pt idx="140">
                  <c:v>-1.6883116883116907E-3</c:v>
                </c:pt>
                <c:pt idx="141">
                  <c:v>-1.6187012987013039E-3</c:v>
                </c:pt>
                <c:pt idx="142">
                  <c:v>-1.5490909090909136E-3</c:v>
                </c:pt>
                <c:pt idx="143">
                  <c:v>-1.7794805194805232E-3</c:v>
                </c:pt>
                <c:pt idx="144">
                  <c:v>-2.0098701298701328E-3</c:v>
                </c:pt>
                <c:pt idx="145">
                  <c:v>-2.0402597402597424E-3</c:v>
                </c:pt>
                <c:pt idx="146">
                  <c:v>-1.5706493506493558E-3</c:v>
                </c:pt>
                <c:pt idx="147">
                  <c:v>-1.6010389610389654E-3</c:v>
                </c:pt>
                <c:pt idx="148">
                  <c:v>-1.6314285714285753E-3</c:v>
                </c:pt>
                <c:pt idx="149">
                  <c:v>-1.7618181818181847E-3</c:v>
                </c:pt>
                <c:pt idx="150">
                  <c:v>-1.2922077922077947E-3</c:v>
                </c:pt>
                <c:pt idx="151">
                  <c:v>-1.7225974025974079E-3</c:v>
                </c:pt>
                <c:pt idx="152">
                  <c:v>-1.3529870129870177E-3</c:v>
                </c:pt>
                <c:pt idx="153">
                  <c:v>-1.6833766233766271E-3</c:v>
                </c:pt>
                <c:pt idx="154">
                  <c:v>-1.4137662337662367E-3</c:v>
                </c:pt>
                <c:pt idx="155">
                  <c:v>-1.3441558441558464E-3</c:v>
                </c:pt>
                <c:pt idx="156">
                  <c:v>-1.1745454545454598E-3</c:v>
                </c:pt>
                <c:pt idx="157">
                  <c:v>-1.2049350649350693E-3</c:v>
                </c:pt>
                <c:pt idx="158">
                  <c:v>-1.6353246753246791E-3</c:v>
                </c:pt>
                <c:pt idx="159">
                  <c:v>-1.165714285714289E-3</c:v>
                </c:pt>
                <c:pt idx="160">
                  <c:v>-1.1961038961038986E-3</c:v>
                </c:pt>
                <c:pt idx="161">
                  <c:v>-1.5264935064935119E-3</c:v>
                </c:pt>
                <c:pt idx="162">
                  <c:v>-8.5688311688312136E-4</c:v>
                </c:pt>
                <c:pt idx="163">
                  <c:v>-6.8727272727273124E-4</c:v>
                </c:pt>
                <c:pt idx="164">
                  <c:v>-6.1766233766234096E-4</c:v>
                </c:pt>
                <c:pt idx="165">
                  <c:v>-9.4805194805195085E-4</c:v>
                </c:pt>
                <c:pt idx="166">
                  <c:v>-1.0784415584415637E-3</c:v>
                </c:pt>
                <c:pt idx="167">
                  <c:v>-7.0883116883117348E-4</c:v>
                </c:pt>
                <c:pt idx="168">
                  <c:v>-7.3922077922078345E-4</c:v>
                </c:pt>
                <c:pt idx="169">
                  <c:v>-7.6961038961039299E-4</c:v>
                </c:pt>
                <c:pt idx="170">
                  <c:v>-8.00000000000006E-4</c:v>
                </c:pt>
                <c:pt idx="171">
                  <c:v>-8.3038961038961598E-4</c:v>
                </c:pt>
                <c:pt idx="172">
                  <c:v>-4.6077922077922577E-4</c:v>
                </c:pt>
                <c:pt idx="173">
                  <c:v>-3.9116883116883548E-4</c:v>
                </c:pt>
                <c:pt idx="174">
                  <c:v>-6.2155844155844511E-4</c:v>
                </c:pt>
                <c:pt idx="175">
                  <c:v>-3.519480519480582E-4</c:v>
                </c:pt>
                <c:pt idx="176">
                  <c:v>-3.8233766233766774E-4</c:v>
                </c:pt>
                <c:pt idx="177">
                  <c:v>-3.1272727272727745E-4</c:v>
                </c:pt>
                <c:pt idx="178">
                  <c:v>-5.431168831168873E-4</c:v>
                </c:pt>
                <c:pt idx="179">
                  <c:v>-2.7350649350649714E-4</c:v>
                </c:pt>
                <c:pt idx="180">
                  <c:v>-3.8961038961102257E-6</c:v>
                </c:pt>
                <c:pt idx="181">
                  <c:v>-4.3428571428571995E-4</c:v>
                </c:pt>
                <c:pt idx="182">
                  <c:v>-2.6467532467532961E-4</c:v>
                </c:pt>
                <c:pt idx="183">
                  <c:v>-3.9506493506493942E-4</c:v>
                </c:pt>
                <c:pt idx="184">
                  <c:v>-2.2545454545454908E-4</c:v>
                </c:pt>
                <c:pt idx="185">
                  <c:v>3.4415584415583775E-4</c:v>
                </c:pt>
                <c:pt idx="186">
                  <c:v>1.1376623376622812E-4</c:v>
                </c:pt>
                <c:pt idx="187">
                  <c:v>-2.1662337662338156E-4</c:v>
                </c:pt>
                <c:pt idx="188">
                  <c:v>1.5298701298700865E-4</c:v>
                </c:pt>
                <c:pt idx="189">
                  <c:v>2.2259740259739894E-4</c:v>
                </c:pt>
                <c:pt idx="190">
                  <c:v>9.2207792207785666E-5</c:v>
                </c:pt>
                <c:pt idx="191">
                  <c:v>4.6181818181817609E-4</c:v>
                </c:pt>
                <c:pt idx="192">
                  <c:v>5.3142857142856638E-4</c:v>
                </c:pt>
                <c:pt idx="193">
                  <c:v>1.0103896103895666E-4</c:v>
                </c:pt>
                <c:pt idx="194">
                  <c:v>6.7064935064934349E-4</c:v>
                </c:pt>
                <c:pt idx="195">
                  <c:v>2.4025974025973377E-4</c:v>
                </c:pt>
                <c:pt idx="196">
                  <c:v>6.0987012987012397E-4</c:v>
                </c:pt>
                <c:pt idx="197">
                  <c:v>6.7948051948051426E-4</c:v>
                </c:pt>
                <c:pt idx="198">
                  <c:v>2.4909090909090454E-4</c:v>
                </c:pt>
                <c:pt idx="199">
                  <c:v>7.1870129870129132E-4</c:v>
                </c:pt>
                <c:pt idx="200">
                  <c:v>6.8831168831168178E-4</c:v>
                </c:pt>
                <c:pt idx="201">
                  <c:v>1.057922077922072E-3</c:v>
                </c:pt>
                <c:pt idx="202">
                  <c:v>9.2753246753246219E-4</c:v>
                </c:pt>
                <c:pt idx="203">
                  <c:v>1.0971428571428525E-3</c:v>
                </c:pt>
                <c:pt idx="204">
                  <c:v>1.4667532467532393E-3</c:v>
                </c:pt>
                <c:pt idx="205">
                  <c:v>1.0363636363636298E-3</c:v>
                </c:pt>
                <c:pt idx="206">
                  <c:v>1.00597402597402E-3</c:v>
                </c:pt>
                <c:pt idx="207">
                  <c:v>7.7558441558441015E-4</c:v>
                </c:pt>
                <c:pt idx="208">
                  <c:v>1.5451948051948005E-3</c:v>
                </c:pt>
                <c:pt idx="209">
                  <c:v>1.3148051948051874E-3</c:v>
                </c:pt>
                <c:pt idx="210">
                  <c:v>1.5844155844155776E-3</c:v>
                </c:pt>
                <c:pt idx="211">
                  <c:v>1.1540259740259679E-3</c:v>
                </c:pt>
                <c:pt idx="212">
                  <c:v>1.3236363636363582E-3</c:v>
                </c:pt>
                <c:pt idx="213">
                  <c:v>1.1932467532467484E-3</c:v>
                </c:pt>
                <c:pt idx="214">
                  <c:v>1.6628571428571354E-3</c:v>
                </c:pt>
                <c:pt idx="215">
                  <c:v>1.8324675324675255E-3</c:v>
                </c:pt>
                <c:pt idx="216">
                  <c:v>1.7020779220779159E-3</c:v>
                </c:pt>
                <c:pt idx="217">
                  <c:v>1.5716883116883061E-3</c:v>
                </c:pt>
                <c:pt idx="218">
                  <c:v>1.8412987012986965E-3</c:v>
                </c:pt>
                <c:pt idx="219">
                  <c:v>2.0109090909090832E-3</c:v>
                </c:pt>
                <c:pt idx="220">
                  <c:v>2.2805194805194736E-3</c:v>
                </c:pt>
                <c:pt idx="221">
                  <c:v>1.9501298701298639E-3</c:v>
                </c:pt>
                <c:pt idx="222">
                  <c:v>1.9197402597402541E-3</c:v>
                </c:pt>
                <c:pt idx="223">
                  <c:v>2.189350649350641E-3</c:v>
                </c:pt>
                <c:pt idx="224">
                  <c:v>2.1589610389610315E-3</c:v>
                </c:pt>
                <c:pt idx="225">
                  <c:v>2.1285714285714215E-3</c:v>
                </c:pt>
                <c:pt idx="226">
                  <c:v>2.3981818181818119E-3</c:v>
                </c:pt>
                <c:pt idx="227">
                  <c:v>2.3677922077922024E-3</c:v>
                </c:pt>
                <c:pt idx="228">
                  <c:v>1.9374025974025889E-3</c:v>
                </c:pt>
                <c:pt idx="229">
                  <c:v>2.4070129870129792E-3</c:v>
                </c:pt>
                <c:pt idx="230">
                  <c:v>2.3766233766233692E-3</c:v>
                </c:pt>
                <c:pt idx="231">
                  <c:v>2.4462337662337595E-3</c:v>
                </c:pt>
                <c:pt idx="232">
                  <c:v>2.8158441558441502E-3</c:v>
                </c:pt>
                <c:pt idx="233">
                  <c:v>2.885454545454537E-3</c:v>
                </c:pt>
                <c:pt idx="234">
                  <c:v>2.6550649350649269E-3</c:v>
                </c:pt>
                <c:pt idx="235">
                  <c:v>3.0246753246753176E-3</c:v>
                </c:pt>
                <c:pt idx="236">
                  <c:v>2.7942857142857075E-3</c:v>
                </c:pt>
                <c:pt idx="237">
                  <c:v>3.0638961038960983E-3</c:v>
                </c:pt>
                <c:pt idx="238">
                  <c:v>3.1335064935064851E-3</c:v>
                </c:pt>
                <c:pt idx="239">
                  <c:v>3.2031168831168754E-3</c:v>
                </c:pt>
                <c:pt idx="240">
                  <c:v>2.9727272727272658E-3</c:v>
                </c:pt>
                <c:pt idx="241">
                  <c:v>2.9423376623376558E-3</c:v>
                </c:pt>
                <c:pt idx="242">
                  <c:v>3.1119480519480464E-3</c:v>
                </c:pt>
                <c:pt idx="243">
                  <c:v>3.2815584415584326E-3</c:v>
                </c:pt>
                <c:pt idx="244">
                  <c:v>3.2511688311688235E-3</c:v>
                </c:pt>
                <c:pt idx="245">
                  <c:v>3.4207792207792131E-3</c:v>
                </c:pt>
                <c:pt idx="246">
                  <c:v>3.4903896103896034E-3</c:v>
                </c:pt>
                <c:pt idx="247">
                  <c:v>3.4599999999999943E-3</c:v>
                </c:pt>
                <c:pt idx="248">
                  <c:v>3.7296103896103808E-3</c:v>
                </c:pt>
                <c:pt idx="249">
                  <c:v>3.6992207792207708E-3</c:v>
                </c:pt>
                <c:pt idx="250">
                  <c:v>3.6688311688311617E-3</c:v>
                </c:pt>
                <c:pt idx="251">
                  <c:v>3.738441558441552E-3</c:v>
                </c:pt>
                <c:pt idx="252">
                  <c:v>3.7080519480519386E-3</c:v>
                </c:pt>
                <c:pt idx="253">
                  <c:v>3.7776623376623289E-3</c:v>
                </c:pt>
                <c:pt idx="254">
                  <c:v>3.9472727272727194E-3</c:v>
                </c:pt>
                <c:pt idx="255">
                  <c:v>4.1168831168831091E-3</c:v>
                </c:pt>
                <c:pt idx="256">
                  <c:v>3.7864935064934996E-3</c:v>
                </c:pt>
                <c:pt idx="257">
                  <c:v>4.1561038961038868E-3</c:v>
                </c:pt>
                <c:pt idx="258">
                  <c:v>4.1257142857142768E-3</c:v>
                </c:pt>
                <c:pt idx="259">
                  <c:v>4.1953246753246706E-3</c:v>
                </c:pt>
                <c:pt idx="260">
                  <c:v>4.1649350649350537E-3</c:v>
                </c:pt>
                <c:pt idx="261">
                  <c:v>4.1345454545454446E-3</c:v>
                </c:pt>
                <c:pt idx="262">
                  <c:v>4.4041558441558345E-3</c:v>
                </c:pt>
                <c:pt idx="263">
                  <c:v>4.4737662337662248E-3</c:v>
                </c:pt>
                <c:pt idx="264">
                  <c:v>4.5433766233766151E-3</c:v>
                </c:pt>
                <c:pt idx="265">
                  <c:v>4.6129870129870054E-3</c:v>
                </c:pt>
                <c:pt idx="266">
                  <c:v>4.482597402597396E-3</c:v>
                </c:pt>
                <c:pt idx="267">
                  <c:v>4.752207792207786E-3</c:v>
                </c:pt>
                <c:pt idx="268">
                  <c:v>4.721818181818176E-3</c:v>
                </c:pt>
                <c:pt idx="269">
                  <c:v>4.7914285714285593E-3</c:v>
                </c:pt>
                <c:pt idx="270">
                  <c:v>4.8610389610389496E-3</c:v>
                </c:pt>
                <c:pt idx="271">
                  <c:v>4.9306493506493399E-3</c:v>
                </c:pt>
                <c:pt idx="272">
                  <c:v>5.1002597402597305E-3</c:v>
                </c:pt>
                <c:pt idx="273">
                  <c:v>5.0698701298701205E-3</c:v>
                </c:pt>
                <c:pt idx="274">
                  <c:v>5.239480519480511E-3</c:v>
                </c:pt>
                <c:pt idx="275">
                  <c:v>5.3090909090909013E-3</c:v>
                </c:pt>
                <c:pt idx="276">
                  <c:v>5.178701298701292E-3</c:v>
                </c:pt>
                <c:pt idx="277">
                  <c:v>5.3483116883116816E-3</c:v>
                </c:pt>
                <c:pt idx="278">
                  <c:v>5.0179220779220726E-3</c:v>
                </c:pt>
                <c:pt idx="279">
                  <c:v>5.3875324675324559E-3</c:v>
                </c:pt>
                <c:pt idx="280">
                  <c:v>5.3571428571428459E-3</c:v>
                </c:pt>
                <c:pt idx="281">
                  <c:v>5.4267532467532362E-3</c:v>
                </c:pt>
                <c:pt idx="282">
                  <c:v>5.4963636363636265E-3</c:v>
                </c:pt>
                <c:pt idx="283">
                  <c:v>5.5659740259740168E-3</c:v>
                </c:pt>
                <c:pt idx="284">
                  <c:v>5.6355844155844071E-3</c:v>
                </c:pt>
                <c:pt idx="285">
                  <c:v>5.4051948051947974E-3</c:v>
                </c:pt>
                <c:pt idx="286">
                  <c:v>5.9748051948051873E-3</c:v>
                </c:pt>
                <c:pt idx="287">
                  <c:v>5.7444155844155777E-3</c:v>
                </c:pt>
                <c:pt idx="288">
                  <c:v>5.9140259740259682E-3</c:v>
                </c:pt>
                <c:pt idx="289">
                  <c:v>5.6836363636363517E-3</c:v>
                </c:pt>
                <c:pt idx="290">
                  <c:v>5.8532467532467422E-3</c:v>
                </c:pt>
                <c:pt idx="291">
                  <c:v>6.1228571428571322E-3</c:v>
                </c:pt>
                <c:pt idx="292">
                  <c:v>5.9924675324675228E-3</c:v>
                </c:pt>
                <c:pt idx="293">
                  <c:v>6.1620779220779125E-3</c:v>
                </c:pt>
                <c:pt idx="294">
                  <c:v>6.2316883116883028E-3</c:v>
                </c:pt>
                <c:pt idx="295">
                  <c:v>6.1012987012986934E-3</c:v>
                </c:pt>
                <c:pt idx="296">
                  <c:v>6.4709090909090836E-3</c:v>
                </c:pt>
                <c:pt idx="297">
                  <c:v>6.3405194805194742E-3</c:v>
                </c:pt>
                <c:pt idx="298">
                  <c:v>6.4101298701298576E-3</c:v>
                </c:pt>
                <c:pt idx="299">
                  <c:v>6.5797402597402473E-3</c:v>
                </c:pt>
                <c:pt idx="300">
                  <c:v>6.6493506493506375E-3</c:v>
                </c:pt>
                <c:pt idx="301">
                  <c:v>6.7189610389610278E-3</c:v>
                </c:pt>
                <c:pt idx="302">
                  <c:v>6.7885714285714181E-3</c:v>
                </c:pt>
                <c:pt idx="303">
                  <c:v>6.9581818181818087E-3</c:v>
                </c:pt>
                <c:pt idx="304">
                  <c:v>7.027792207792199E-3</c:v>
                </c:pt>
                <c:pt idx="305">
                  <c:v>7.0974025974025893E-3</c:v>
                </c:pt>
                <c:pt idx="306">
                  <c:v>6.7670129870129794E-3</c:v>
                </c:pt>
                <c:pt idx="307">
                  <c:v>6.8366233766233696E-3</c:v>
                </c:pt>
                <c:pt idx="308">
                  <c:v>7.2062337662337529E-3</c:v>
                </c:pt>
                <c:pt idx="309">
                  <c:v>7.4758441558441437E-3</c:v>
                </c:pt>
                <c:pt idx="310">
                  <c:v>7.2454545454545341E-3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9C-4F34-A66D-ED1140262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680016"/>
        <c:axId val="568682512"/>
      </c:scatterChart>
      <c:valAx>
        <c:axId val="568680016"/>
        <c:scaling>
          <c:orientation val="minMax"/>
          <c:max val="260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2512"/>
        <c:crosses val="autoZero"/>
        <c:crossBetween val="midCat"/>
      </c:valAx>
      <c:valAx>
        <c:axId val="568682512"/>
        <c:scaling>
          <c:orientation val="minMax"/>
          <c:max val="0.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Absorbance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00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45757597593699639"/>
          <c:y val="0.15928346776023233"/>
          <c:w val="0.4301829778969114"/>
          <c:h val="0.190584161448407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Residuals of fit for tank water</a:t>
            </a:r>
          </a:p>
        </c:rich>
      </c:tx>
      <c:layout>
        <c:manualLayout>
          <c:xMode val="edge"/>
          <c:yMode val="edge"/>
          <c:x val="0.16369803241093084"/>
          <c:y val="2.103851616894504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098265377363579"/>
          <c:y val="0.13506500136128505"/>
          <c:w val="0.76768397407968225"/>
          <c:h val="0.8154111648062437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xVal>
            <c:numRef>
              <c:f>blank!$B$9:$B$319</c:f>
              <c:numCache>
                <c:formatCode>General</c:formatCode>
                <c:ptCount val="311"/>
                <c:pt idx="0">
                  <c:v>190</c:v>
                </c:pt>
                <c:pt idx="1">
                  <c:v>191</c:v>
                </c:pt>
                <c:pt idx="2">
                  <c:v>192</c:v>
                </c:pt>
                <c:pt idx="3">
                  <c:v>193</c:v>
                </c:pt>
                <c:pt idx="4">
                  <c:v>194</c:v>
                </c:pt>
                <c:pt idx="5">
                  <c:v>195</c:v>
                </c:pt>
                <c:pt idx="6">
                  <c:v>196</c:v>
                </c:pt>
                <c:pt idx="7">
                  <c:v>197</c:v>
                </c:pt>
                <c:pt idx="8">
                  <c:v>198</c:v>
                </c:pt>
                <c:pt idx="9">
                  <c:v>199</c:v>
                </c:pt>
                <c:pt idx="10">
                  <c:v>200</c:v>
                </c:pt>
                <c:pt idx="11">
                  <c:v>201</c:v>
                </c:pt>
                <c:pt idx="12">
                  <c:v>202</c:v>
                </c:pt>
                <c:pt idx="13">
                  <c:v>203</c:v>
                </c:pt>
                <c:pt idx="14">
                  <c:v>204</c:v>
                </c:pt>
                <c:pt idx="15">
                  <c:v>205</c:v>
                </c:pt>
                <c:pt idx="16">
                  <c:v>206</c:v>
                </c:pt>
                <c:pt idx="17">
                  <c:v>207</c:v>
                </c:pt>
                <c:pt idx="18">
                  <c:v>208</c:v>
                </c:pt>
                <c:pt idx="19">
                  <c:v>209</c:v>
                </c:pt>
                <c:pt idx="20">
                  <c:v>210</c:v>
                </c:pt>
                <c:pt idx="21">
                  <c:v>211</c:v>
                </c:pt>
                <c:pt idx="22">
                  <c:v>212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216</c:v>
                </c:pt>
                <c:pt idx="27">
                  <c:v>217</c:v>
                </c:pt>
                <c:pt idx="28">
                  <c:v>218</c:v>
                </c:pt>
                <c:pt idx="29">
                  <c:v>219</c:v>
                </c:pt>
                <c:pt idx="30">
                  <c:v>220</c:v>
                </c:pt>
                <c:pt idx="31">
                  <c:v>221</c:v>
                </c:pt>
                <c:pt idx="32">
                  <c:v>222</c:v>
                </c:pt>
                <c:pt idx="33">
                  <c:v>223</c:v>
                </c:pt>
                <c:pt idx="34">
                  <c:v>224</c:v>
                </c:pt>
                <c:pt idx="35">
                  <c:v>225</c:v>
                </c:pt>
                <c:pt idx="36">
                  <c:v>226</c:v>
                </c:pt>
                <c:pt idx="37">
                  <c:v>227</c:v>
                </c:pt>
                <c:pt idx="38">
                  <c:v>228</c:v>
                </c:pt>
                <c:pt idx="39">
                  <c:v>229</c:v>
                </c:pt>
                <c:pt idx="40">
                  <c:v>230</c:v>
                </c:pt>
                <c:pt idx="41">
                  <c:v>231</c:v>
                </c:pt>
                <c:pt idx="42">
                  <c:v>232</c:v>
                </c:pt>
                <c:pt idx="43">
                  <c:v>233</c:v>
                </c:pt>
                <c:pt idx="44">
                  <c:v>234</c:v>
                </c:pt>
                <c:pt idx="45">
                  <c:v>235</c:v>
                </c:pt>
                <c:pt idx="46">
                  <c:v>236</c:v>
                </c:pt>
                <c:pt idx="47">
                  <c:v>237</c:v>
                </c:pt>
                <c:pt idx="48">
                  <c:v>238</c:v>
                </c:pt>
                <c:pt idx="49">
                  <c:v>239</c:v>
                </c:pt>
                <c:pt idx="50">
                  <c:v>240</c:v>
                </c:pt>
                <c:pt idx="51">
                  <c:v>241</c:v>
                </c:pt>
                <c:pt idx="52">
                  <c:v>242</c:v>
                </c:pt>
                <c:pt idx="53">
                  <c:v>243</c:v>
                </c:pt>
                <c:pt idx="54">
                  <c:v>244</c:v>
                </c:pt>
                <c:pt idx="55">
                  <c:v>245</c:v>
                </c:pt>
                <c:pt idx="56">
                  <c:v>246</c:v>
                </c:pt>
                <c:pt idx="57">
                  <c:v>247</c:v>
                </c:pt>
                <c:pt idx="58">
                  <c:v>248</c:v>
                </c:pt>
                <c:pt idx="59">
                  <c:v>249</c:v>
                </c:pt>
                <c:pt idx="60">
                  <c:v>250</c:v>
                </c:pt>
                <c:pt idx="61">
                  <c:v>251</c:v>
                </c:pt>
                <c:pt idx="62">
                  <c:v>252</c:v>
                </c:pt>
                <c:pt idx="63">
                  <c:v>253</c:v>
                </c:pt>
                <c:pt idx="64">
                  <c:v>254</c:v>
                </c:pt>
                <c:pt idx="65">
                  <c:v>255</c:v>
                </c:pt>
                <c:pt idx="66">
                  <c:v>256</c:v>
                </c:pt>
                <c:pt idx="67">
                  <c:v>257</c:v>
                </c:pt>
                <c:pt idx="68">
                  <c:v>258</c:v>
                </c:pt>
                <c:pt idx="69">
                  <c:v>259</c:v>
                </c:pt>
                <c:pt idx="70">
                  <c:v>260</c:v>
                </c:pt>
                <c:pt idx="71">
                  <c:v>261</c:v>
                </c:pt>
                <c:pt idx="72">
                  <c:v>262</c:v>
                </c:pt>
                <c:pt idx="73">
                  <c:v>263</c:v>
                </c:pt>
                <c:pt idx="74">
                  <c:v>264</c:v>
                </c:pt>
                <c:pt idx="75">
                  <c:v>265</c:v>
                </c:pt>
                <c:pt idx="76">
                  <c:v>266</c:v>
                </c:pt>
                <c:pt idx="77">
                  <c:v>267</c:v>
                </c:pt>
                <c:pt idx="78">
                  <c:v>268</c:v>
                </c:pt>
                <c:pt idx="79">
                  <c:v>269</c:v>
                </c:pt>
                <c:pt idx="80">
                  <c:v>270</c:v>
                </c:pt>
                <c:pt idx="81">
                  <c:v>271</c:v>
                </c:pt>
                <c:pt idx="82">
                  <c:v>272</c:v>
                </c:pt>
                <c:pt idx="83">
                  <c:v>273</c:v>
                </c:pt>
                <c:pt idx="84">
                  <c:v>274</c:v>
                </c:pt>
                <c:pt idx="85">
                  <c:v>275</c:v>
                </c:pt>
                <c:pt idx="86">
                  <c:v>276</c:v>
                </c:pt>
                <c:pt idx="87">
                  <c:v>277</c:v>
                </c:pt>
                <c:pt idx="88">
                  <c:v>278</c:v>
                </c:pt>
                <c:pt idx="89">
                  <c:v>279</c:v>
                </c:pt>
                <c:pt idx="90">
                  <c:v>280</c:v>
                </c:pt>
                <c:pt idx="91">
                  <c:v>281</c:v>
                </c:pt>
                <c:pt idx="92">
                  <c:v>282</c:v>
                </c:pt>
                <c:pt idx="93">
                  <c:v>283</c:v>
                </c:pt>
                <c:pt idx="94">
                  <c:v>284</c:v>
                </c:pt>
                <c:pt idx="95">
                  <c:v>285</c:v>
                </c:pt>
                <c:pt idx="96">
                  <c:v>286</c:v>
                </c:pt>
                <c:pt idx="97">
                  <c:v>287</c:v>
                </c:pt>
                <c:pt idx="98">
                  <c:v>288</c:v>
                </c:pt>
                <c:pt idx="99">
                  <c:v>289</c:v>
                </c:pt>
                <c:pt idx="100">
                  <c:v>290</c:v>
                </c:pt>
                <c:pt idx="101">
                  <c:v>291</c:v>
                </c:pt>
                <c:pt idx="102">
                  <c:v>292</c:v>
                </c:pt>
                <c:pt idx="103">
                  <c:v>293</c:v>
                </c:pt>
                <c:pt idx="104">
                  <c:v>294</c:v>
                </c:pt>
                <c:pt idx="105">
                  <c:v>295</c:v>
                </c:pt>
                <c:pt idx="106">
                  <c:v>296</c:v>
                </c:pt>
                <c:pt idx="107">
                  <c:v>297</c:v>
                </c:pt>
                <c:pt idx="108">
                  <c:v>298</c:v>
                </c:pt>
                <c:pt idx="109">
                  <c:v>299</c:v>
                </c:pt>
                <c:pt idx="110">
                  <c:v>300</c:v>
                </c:pt>
                <c:pt idx="111">
                  <c:v>301</c:v>
                </c:pt>
                <c:pt idx="112">
                  <c:v>302</c:v>
                </c:pt>
                <c:pt idx="113">
                  <c:v>303</c:v>
                </c:pt>
                <c:pt idx="114">
                  <c:v>304</c:v>
                </c:pt>
                <c:pt idx="115">
                  <c:v>305</c:v>
                </c:pt>
                <c:pt idx="116">
                  <c:v>306</c:v>
                </c:pt>
                <c:pt idx="117">
                  <c:v>307</c:v>
                </c:pt>
                <c:pt idx="118">
                  <c:v>308</c:v>
                </c:pt>
                <c:pt idx="119">
                  <c:v>309</c:v>
                </c:pt>
                <c:pt idx="120">
                  <c:v>310</c:v>
                </c:pt>
                <c:pt idx="121">
                  <c:v>311</c:v>
                </c:pt>
                <c:pt idx="122">
                  <c:v>312</c:v>
                </c:pt>
                <c:pt idx="123">
                  <c:v>313</c:v>
                </c:pt>
                <c:pt idx="124">
                  <c:v>314</c:v>
                </c:pt>
                <c:pt idx="125">
                  <c:v>315</c:v>
                </c:pt>
                <c:pt idx="126">
                  <c:v>316</c:v>
                </c:pt>
                <c:pt idx="127">
                  <c:v>317</c:v>
                </c:pt>
                <c:pt idx="128">
                  <c:v>318</c:v>
                </c:pt>
                <c:pt idx="129">
                  <c:v>319</c:v>
                </c:pt>
                <c:pt idx="130">
                  <c:v>320</c:v>
                </c:pt>
                <c:pt idx="131">
                  <c:v>321</c:v>
                </c:pt>
                <c:pt idx="132">
                  <c:v>322</c:v>
                </c:pt>
                <c:pt idx="133">
                  <c:v>323</c:v>
                </c:pt>
                <c:pt idx="134">
                  <c:v>324</c:v>
                </c:pt>
                <c:pt idx="135">
                  <c:v>325</c:v>
                </c:pt>
                <c:pt idx="136">
                  <c:v>326</c:v>
                </c:pt>
                <c:pt idx="137">
                  <c:v>327</c:v>
                </c:pt>
                <c:pt idx="138">
                  <c:v>328</c:v>
                </c:pt>
                <c:pt idx="139">
                  <c:v>329</c:v>
                </c:pt>
                <c:pt idx="140">
                  <c:v>330</c:v>
                </c:pt>
                <c:pt idx="141">
                  <c:v>331</c:v>
                </c:pt>
                <c:pt idx="142">
                  <c:v>332</c:v>
                </c:pt>
                <c:pt idx="143">
                  <c:v>333</c:v>
                </c:pt>
                <c:pt idx="144">
                  <c:v>334</c:v>
                </c:pt>
                <c:pt idx="145">
                  <c:v>335</c:v>
                </c:pt>
                <c:pt idx="146">
                  <c:v>336</c:v>
                </c:pt>
                <c:pt idx="147">
                  <c:v>337</c:v>
                </c:pt>
                <c:pt idx="148">
                  <c:v>338</c:v>
                </c:pt>
                <c:pt idx="149">
                  <c:v>339</c:v>
                </c:pt>
                <c:pt idx="150">
                  <c:v>340</c:v>
                </c:pt>
                <c:pt idx="151">
                  <c:v>341</c:v>
                </c:pt>
                <c:pt idx="152">
                  <c:v>342</c:v>
                </c:pt>
                <c:pt idx="153">
                  <c:v>343</c:v>
                </c:pt>
                <c:pt idx="154">
                  <c:v>344</c:v>
                </c:pt>
                <c:pt idx="155">
                  <c:v>345</c:v>
                </c:pt>
                <c:pt idx="156">
                  <c:v>346</c:v>
                </c:pt>
                <c:pt idx="157">
                  <c:v>347</c:v>
                </c:pt>
                <c:pt idx="158">
                  <c:v>348</c:v>
                </c:pt>
                <c:pt idx="159">
                  <c:v>349</c:v>
                </c:pt>
                <c:pt idx="160">
                  <c:v>350</c:v>
                </c:pt>
                <c:pt idx="161">
                  <c:v>351</c:v>
                </c:pt>
                <c:pt idx="162">
                  <c:v>352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361</c:v>
                </c:pt>
                <c:pt idx="172">
                  <c:v>362</c:v>
                </c:pt>
                <c:pt idx="173">
                  <c:v>363</c:v>
                </c:pt>
                <c:pt idx="174">
                  <c:v>364</c:v>
                </c:pt>
                <c:pt idx="175">
                  <c:v>365</c:v>
                </c:pt>
                <c:pt idx="176">
                  <c:v>366</c:v>
                </c:pt>
                <c:pt idx="177">
                  <c:v>367</c:v>
                </c:pt>
                <c:pt idx="178">
                  <c:v>368</c:v>
                </c:pt>
                <c:pt idx="179">
                  <c:v>369</c:v>
                </c:pt>
                <c:pt idx="180">
                  <c:v>370</c:v>
                </c:pt>
                <c:pt idx="181">
                  <c:v>371</c:v>
                </c:pt>
                <c:pt idx="182">
                  <c:v>372</c:v>
                </c:pt>
                <c:pt idx="183">
                  <c:v>373</c:v>
                </c:pt>
                <c:pt idx="184">
                  <c:v>374</c:v>
                </c:pt>
                <c:pt idx="185">
                  <c:v>375</c:v>
                </c:pt>
                <c:pt idx="186">
                  <c:v>376</c:v>
                </c:pt>
                <c:pt idx="187">
                  <c:v>377</c:v>
                </c:pt>
                <c:pt idx="188">
                  <c:v>378</c:v>
                </c:pt>
                <c:pt idx="189">
                  <c:v>379</c:v>
                </c:pt>
                <c:pt idx="190">
                  <c:v>380</c:v>
                </c:pt>
                <c:pt idx="191">
                  <c:v>381</c:v>
                </c:pt>
                <c:pt idx="192">
                  <c:v>382</c:v>
                </c:pt>
                <c:pt idx="193">
                  <c:v>383</c:v>
                </c:pt>
                <c:pt idx="194">
                  <c:v>384</c:v>
                </c:pt>
                <c:pt idx="195">
                  <c:v>385</c:v>
                </c:pt>
                <c:pt idx="196">
                  <c:v>386</c:v>
                </c:pt>
                <c:pt idx="197">
                  <c:v>387</c:v>
                </c:pt>
                <c:pt idx="198">
                  <c:v>388</c:v>
                </c:pt>
                <c:pt idx="199">
                  <c:v>389</c:v>
                </c:pt>
                <c:pt idx="200">
                  <c:v>390</c:v>
                </c:pt>
                <c:pt idx="201">
                  <c:v>391</c:v>
                </c:pt>
                <c:pt idx="202">
                  <c:v>392</c:v>
                </c:pt>
                <c:pt idx="203">
                  <c:v>393</c:v>
                </c:pt>
                <c:pt idx="204">
                  <c:v>394</c:v>
                </c:pt>
                <c:pt idx="205">
                  <c:v>395</c:v>
                </c:pt>
                <c:pt idx="206">
                  <c:v>396</c:v>
                </c:pt>
                <c:pt idx="207">
                  <c:v>397</c:v>
                </c:pt>
                <c:pt idx="208">
                  <c:v>398</c:v>
                </c:pt>
                <c:pt idx="209">
                  <c:v>399</c:v>
                </c:pt>
                <c:pt idx="210">
                  <c:v>400</c:v>
                </c:pt>
                <c:pt idx="211">
                  <c:v>401</c:v>
                </c:pt>
                <c:pt idx="212">
                  <c:v>402</c:v>
                </c:pt>
                <c:pt idx="213">
                  <c:v>403</c:v>
                </c:pt>
                <c:pt idx="214">
                  <c:v>404</c:v>
                </c:pt>
                <c:pt idx="215">
                  <c:v>405</c:v>
                </c:pt>
                <c:pt idx="216">
                  <c:v>406</c:v>
                </c:pt>
                <c:pt idx="217">
                  <c:v>407</c:v>
                </c:pt>
                <c:pt idx="218">
                  <c:v>408</c:v>
                </c:pt>
                <c:pt idx="219">
                  <c:v>409</c:v>
                </c:pt>
                <c:pt idx="220">
                  <c:v>410</c:v>
                </c:pt>
                <c:pt idx="221">
                  <c:v>411</c:v>
                </c:pt>
                <c:pt idx="222">
                  <c:v>412</c:v>
                </c:pt>
                <c:pt idx="223">
                  <c:v>413</c:v>
                </c:pt>
                <c:pt idx="224">
                  <c:v>414</c:v>
                </c:pt>
                <c:pt idx="225">
                  <c:v>415</c:v>
                </c:pt>
                <c:pt idx="226">
                  <c:v>416</c:v>
                </c:pt>
                <c:pt idx="227">
                  <c:v>417</c:v>
                </c:pt>
                <c:pt idx="228">
                  <c:v>418</c:v>
                </c:pt>
                <c:pt idx="229">
                  <c:v>419</c:v>
                </c:pt>
                <c:pt idx="230">
                  <c:v>420</c:v>
                </c:pt>
                <c:pt idx="231">
                  <c:v>421</c:v>
                </c:pt>
                <c:pt idx="232">
                  <c:v>422</c:v>
                </c:pt>
                <c:pt idx="233">
                  <c:v>423</c:v>
                </c:pt>
                <c:pt idx="234">
                  <c:v>424</c:v>
                </c:pt>
                <c:pt idx="235">
                  <c:v>425</c:v>
                </c:pt>
                <c:pt idx="236">
                  <c:v>426</c:v>
                </c:pt>
                <c:pt idx="237">
                  <c:v>427</c:v>
                </c:pt>
                <c:pt idx="238">
                  <c:v>428</c:v>
                </c:pt>
                <c:pt idx="239">
                  <c:v>429</c:v>
                </c:pt>
                <c:pt idx="240">
                  <c:v>430</c:v>
                </c:pt>
                <c:pt idx="241">
                  <c:v>431</c:v>
                </c:pt>
                <c:pt idx="242">
                  <c:v>432</c:v>
                </c:pt>
                <c:pt idx="243">
                  <c:v>433</c:v>
                </c:pt>
                <c:pt idx="244">
                  <c:v>434</c:v>
                </c:pt>
                <c:pt idx="245">
                  <c:v>435</c:v>
                </c:pt>
                <c:pt idx="246">
                  <c:v>436</c:v>
                </c:pt>
                <c:pt idx="247">
                  <c:v>437</c:v>
                </c:pt>
                <c:pt idx="248">
                  <c:v>438</c:v>
                </c:pt>
                <c:pt idx="249">
                  <c:v>439</c:v>
                </c:pt>
                <c:pt idx="250">
                  <c:v>440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444</c:v>
                </c:pt>
                <c:pt idx="255">
                  <c:v>445</c:v>
                </c:pt>
                <c:pt idx="256">
                  <c:v>446</c:v>
                </c:pt>
                <c:pt idx="257">
                  <c:v>447</c:v>
                </c:pt>
                <c:pt idx="258">
                  <c:v>448</c:v>
                </c:pt>
                <c:pt idx="259">
                  <c:v>449</c:v>
                </c:pt>
                <c:pt idx="260">
                  <c:v>450</c:v>
                </c:pt>
                <c:pt idx="261">
                  <c:v>451</c:v>
                </c:pt>
                <c:pt idx="262">
                  <c:v>452</c:v>
                </c:pt>
                <c:pt idx="263">
                  <c:v>453</c:v>
                </c:pt>
                <c:pt idx="264">
                  <c:v>454</c:v>
                </c:pt>
                <c:pt idx="265">
                  <c:v>455</c:v>
                </c:pt>
                <c:pt idx="266">
                  <c:v>456</c:v>
                </c:pt>
                <c:pt idx="267">
                  <c:v>457</c:v>
                </c:pt>
                <c:pt idx="268">
                  <c:v>458</c:v>
                </c:pt>
                <c:pt idx="269">
                  <c:v>459</c:v>
                </c:pt>
                <c:pt idx="270">
                  <c:v>460</c:v>
                </c:pt>
                <c:pt idx="271">
                  <c:v>461</c:v>
                </c:pt>
                <c:pt idx="272">
                  <c:v>462</c:v>
                </c:pt>
                <c:pt idx="273">
                  <c:v>463</c:v>
                </c:pt>
                <c:pt idx="274">
                  <c:v>464</c:v>
                </c:pt>
                <c:pt idx="275">
                  <c:v>465</c:v>
                </c:pt>
                <c:pt idx="276">
                  <c:v>466</c:v>
                </c:pt>
                <c:pt idx="277">
                  <c:v>467</c:v>
                </c:pt>
                <c:pt idx="278">
                  <c:v>468</c:v>
                </c:pt>
                <c:pt idx="279">
                  <c:v>469</c:v>
                </c:pt>
                <c:pt idx="280">
                  <c:v>470</c:v>
                </c:pt>
                <c:pt idx="281">
                  <c:v>471</c:v>
                </c:pt>
                <c:pt idx="282">
                  <c:v>472</c:v>
                </c:pt>
                <c:pt idx="283">
                  <c:v>473</c:v>
                </c:pt>
                <c:pt idx="284">
                  <c:v>474</c:v>
                </c:pt>
                <c:pt idx="285">
                  <c:v>475</c:v>
                </c:pt>
                <c:pt idx="286">
                  <c:v>476</c:v>
                </c:pt>
                <c:pt idx="287">
                  <c:v>477</c:v>
                </c:pt>
                <c:pt idx="288">
                  <c:v>478</c:v>
                </c:pt>
                <c:pt idx="289">
                  <c:v>479</c:v>
                </c:pt>
                <c:pt idx="290">
                  <c:v>480</c:v>
                </c:pt>
                <c:pt idx="291">
                  <c:v>481</c:v>
                </c:pt>
                <c:pt idx="292">
                  <c:v>482</c:v>
                </c:pt>
                <c:pt idx="293">
                  <c:v>483</c:v>
                </c:pt>
                <c:pt idx="294">
                  <c:v>484</c:v>
                </c:pt>
                <c:pt idx="295">
                  <c:v>485</c:v>
                </c:pt>
                <c:pt idx="296">
                  <c:v>486</c:v>
                </c:pt>
                <c:pt idx="297">
                  <c:v>487</c:v>
                </c:pt>
                <c:pt idx="298">
                  <c:v>488</c:v>
                </c:pt>
                <c:pt idx="299">
                  <c:v>489</c:v>
                </c:pt>
                <c:pt idx="300">
                  <c:v>490</c:v>
                </c:pt>
                <c:pt idx="301">
                  <c:v>491</c:v>
                </c:pt>
                <c:pt idx="302">
                  <c:v>492</c:v>
                </c:pt>
                <c:pt idx="303">
                  <c:v>493</c:v>
                </c:pt>
                <c:pt idx="304">
                  <c:v>494</c:v>
                </c:pt>
                <c:pt idx="305">
                  <c:v>495</c:v>
                </c:pt>
                <c:pt idx="306">
                  <c:v>496</c:v>
                </c:pt>
                <c:pt idx="307">
                  <c:v>497</c:v>
                </c:pt>
                <c:pt idx="308">
                  <c:v>498</c:v>
                </c:pt>
                <c:pt idx="309">
                  <c:v>499</c:v>
                </c:pt>
                <c:pt idx="310">
                  <c:v>500</c:v>
                </c:pt>
              </c:numCache>
            </c:numRef>
          </c:xVal>
          <c:yVal>
            <c:numRef>
              <c:f>blank!$U$9:$U$319</c:f>
              <c:numCache>
                <c:formatCode>General</c:formatCode>
                <c:ptCount val="311"/>
                <c:pt idx="0">
                  <c:v>0.26275967012603269</c:v>
                </c:pt>
                <c:pt idx="1">
                  <c:v>0.26790381588706319</c:v>
                </c:pt>
                <c:pt idx="2">
                  <c:v>0.30451336341122548</c:v>
                </c:pt>
                <c:pt idx="3">
                  <c:v>0.32228315037784305</c:v>
                </c:pt>
                <c:pt idx="4">
                  <c:v>0.31852215906213538</c:v>
                </c:pt>
                <c:pt idx="5">
                  <c:v>0.32746904397194188</c:v>
                </c:pt>
                <c:pt idx="6">
                  <c:v>0.33055093838261435</c:v>
                </c:pt>
                <c:pt idx="7">
                  <c:v>0.33283654712521943</c:v>
                </c:pt>
                <c:pt idx="8">
                  <c:v>0.34715377353783794</c:v>
                </c:pt>
                <c:pt idx="9">
                  <c:v>0.3348914194236326</c:v>
                </c:pt>
                <c:pt idx="10">
                  <c:v>0.33315506670211015</c:v>
                </c:pt>
                <c:pt idx="11">
                  <c:v>0.3241249644677307</c:v>
                </c:pt>
                <c:pt idx="12">
                  <c:v>0.32395894175235251</c:v>
                </c:pt>
                <c:pt idx="13">
                  <c:v>0.32708753016909053</c:v>
                </c:pt>
                <c:pt idx="14">
                  <c:v>0.33129152234819814</c:v>
                </c:pt>
                <c:pt idx="15">
                  <c:v>0.32519863855225961</c:v>
                </c:pt>
                <c:pt idx="16">
                  <c:v>0.31477111472618963</c:v>
                </c:pt>
                <c:pt idx="17">
                  <c:v>0.27420864380307458</c:v>
                </c:pt>
                <c:pt idx="18">
                  <c:v>0.21018114568921986</c:v>
                </c:pt>
                <c:pt idx="19">
                  <c:v>0.15636871787279041</c:v>
                </c:pt>
                <c:pt idx="20">
                  <c:v>0.11201310068626902</c:v>
                </c:pt>
                <c:pt idx="21">
                  <c:v>8.5407477498488246E-2</c:v>
                </c:pt>
                <c:pt idx="22">
                  <c:v>6.2248270937144808E-2</c:v>
                </c:pt>
                <c:pt idx="23">
                  <c:v>4.4570448100534371E-2</c:v>
                </c:pt>
                <c:pt idx="24">
                  <c:v>3.1528031568754729E-2</c:v>
                </c:pt>
                <c:pt idx="25">
                  <c:v>2.1990835550767231E-2</c:v>
                </c:pt>
                <c:pt idx="26">
                  <c:v>1.4077720910197045E-2</c:v>
                </c:pt>
                <c:pt idx="27">
                  <c:v>9.0641484586507885E-3</c:v>
                </c:pt>
                <c:pt idx="28">
                  <c:v>5.6746005134766051E-3</c:v>
                </c:pt>
                <c:pt idx="29">
                  <c:v>3.1732508978099244E-3</c:v>
                </c:pt>
                <c:pt idx="30">
                  <c:v>1.3920670327941202E-3</c:v>
                </c:pt>
                <c:pt idx="31">
                  <c:v>4.2476853708834673E-4</c:v>
                </c:pt>
                <c:pt idx="32">
                  <c:v>6.2251245183905443E-5</c:v>
                </c:pt>
                <c:pt idx="33">
                  <c:v>-2.2262119353472394E-4</c:v>
                </c:pt>
                <c:pt idx="34">
                  <c:v>-1.4628144387245079E-4</c:v>
                </c:pt>
                <c:pt idx="35">
                  <c:v>-2.0478916125814435E-4</c:v>
                </c:pt>
                <c:pt idx="36">
                  <c:v>-2.4968142480571824E-4</c:v>
                </c:pt>
                <c:pt idx="37">
                  <c:v>-1.4733424383362066E-4</c:v>
                </c:pt>
                <c:pt idx="38">
                  <c:v>7.2217231225980057E-5</c:v>
                </c:pt>
                <c:pt idx="39">
                  <c:v>4.2099471961077077E-4</c:v>
                </c:pt>
                <c:pt idx="40">
                  <c:v>3.7663010629568469E-4</c:v>
                </c:pt>
                <c:pt idx="41">
                  <c:v>3.0865514767687758E-4</c:v>
                </c:pt>
                <c:pt idx="42">
                  <c:v>5.7812542763640814E-4</c:v>
                </c:pt>
                <c:pt idx="43">
                  <c:v>4.4410721010869261E-4</c:v>
                </c:pt>
                <c:pt idx="44">
                  <c:v>4.2211071181867113E-4</c:v>
                </c:pt>
                <c:pt idx="45">
                  <c:v>6.434133134771749E-4</c:v>
                </c:pt>
                <c:pt idx="46">
                  <c:v>5.0633969163388587E-4</c:v>
                </c:pt>
                <c:pt idx="47">
                  <c:v>5.1256516973912682E-4</c:v>
                </c:pt>
                <c:pt idx="48">
                  <c:v>4.8987863101648192E-4</c:v>
                </c:pt>
                <c:pt idx="49">
                  <c:v>5.5603466227809034E-5</c:v>
                </c:pt>
                <c:pt idx="50">
                  <c:v>1.3055156362221072E-4</c:v>
                </c:pt>
                <c:pt idx="51">
                  <c:v>-1.0700596140951872E-5</c:v>
                </c:pt>
                <c:pt idx="52">
                  <c:v>6.1311193612238556E-5</c:v>
                </c:pt>
                <c:pt idx="53">
                  <c:v>-9.1529592216945877E-5</c:v>
                </c:pt>
                <c:pt idx="54">
                  <c:v>-8.1382523452800515E-5</c:v>
                </c:pt>
                <c:pt idx="55">
                  <c:v>3.3410259707161518E-6</c:v>
                </c:pt>
                <c:pt idx="56">
                  <c:v>-8.651190526513511E-5</c:v>
                </c:pt>
                <c:pt idx="57">
                  <c:v>1.2046537432988337E-5</c:v>
                </c:pt>
                <c:pt idx="58">
                  <c:v>1.8705108709893597E-5</c:v>
                </c:pt>
                <c:pt idx="59">
                  <c:v>-5.8436062855639802E-5</c:v>
                </c:pt>
                <c:pt idx="60">
                  <c:v>-1.8068950840661825E-4</c:v>
                </c:pt>
                <c:pt idx="61">
                  <c:v>5.0821638452662551E-5</c:v>
                </c:pt>
                <c:pt idx="62">
                  <c:v>-3.7908159178893743E-5</c:v>
                </c:pt>
                <c:pt idx="63">
                  <c:v>1.606502835192363E-4</c:v>
                </c:pt>
                <c:pt idx="64">
                  <c:v>8.3250271555966757E-7</c:v>
                </c:pt>
                <c:pt idx="65">
                  <c:v>8.6679185743363508E-5</c:v>
                </c:pt>
                <c:pt idx="66">
                  <c:v>1.3900222085174577E-4</c:v>
                </c:pt>
                <c:pt idx="67">
                  <c:v>1.2136040639230626E-4</c:v>
                </c:pt>
                <c:pt idx="68">
                  <c:v>4.4219234826775976E-5</c:v>
                </c:pt>
                <c:pt idx="69">
                  <c:v>-1.4912219389632241E-4</c:v>
                </c:pt>
                <c:pt idx="70">
                  <c:v>-1.3324036043633466E-4</c:v>
                </c:pt>
                <c:pt idx="71">
                  <c:v>-1.5549380598731339E-4</c:v>
                </c:pt>
                <c:pt idx="72">
                  <c:v>-2.3612347504008919E-4</c:v>
                </c:pt>
                <c:pt idx="73">
                  <c:v>-2.3756503234196539E-4</c:v>
                </c:pt>
                <c:pt idx="74">
                  <c:v>-6.0548294172442236E-4</c:v>
                </c:pt>
                <c:pt idx="75">
                  <c:v>-4.1963625869661885E-4</c:v>
                </c:pt>
                <c:pt idx="76">
                  <c:v>-5.3378957566881558E-4</c:v>
                </c:pt>
                <c:pt idx="77">
                  <c:v>-8.0980761363005124E-4</c:v>
                </c:pt>
                <c:pt idx="78">
                  <c:v>-9.6962539443371854E-4</c:v>
                </c:pt>
                <c:pt idx="79">
                  <c:v>-9.2079085681258431E-4</c:v>
                </c:pt>
                <c:pt idx="80">
                  <c:v>-1.1887087661950387E-3</c:v>
                </c:pt>
                <c:pt idx="81">
                  <c:v>-1.2155738428375547E-3</c:v>
                </c:pt>
                <c:pt idx="82">
                  <c:v>-1.5534566017878317E-3</c:v>
                </c:pt>
                <c:pt idx="83">
                  <c:v>-1.5595097901812504E-3</c:v>
                </c:pt>
                <c:pt idx="84">
                  <c:v>-1.7274276995637055E-3</c:v>
                </c:pt>
                <c:pt idx="85">
                  <c:v>-2.0288692568655813E-3</c:v>
                </c:pt>
                <c:pt idx="86">
                  <c:v>-2.1638344620868734E-3</c:v>
                </c:pt>
                <c:pt idx="87">
                  <c:v>-2.2317523714693267E-3</c:v>
                </c:pt>
                <c:pt idx="88">
                  <c:v>-2.3574943145075532E-3</c:v>
                </c:pt>
                <c:pt idx="89">
                  <c:v>-2.716741151552962E-3</c:v>
                </c:pt>
                <c:pt idx="90">
                  <c:v>-2.7771298761148982E-3</c:v>
                </c:pt>
                <c:pt idx="91">
                  <c:v>-3.1612480426549171E-3</c:v>
                </c:pt>
                <c:pt idx="92">
                  <c:v>-3.183501488205895E-3</c:v>
                </c:pt>
                <c:pt idx="93">
                  <c:v>-3.4479309001011105E-3</c:v>
                </c:pt>
                <c:pt idx="94">
                  <c:v>-3.7777135304725993E-3</c:v>
                </c:pt>
                <c:pt idx="95">
                  <c:v>-3.9300021264557549E-3</c:v>
                </c:pt>
                <c:pt idx="96">
                  <c:v>-4.0886967736551341E-3</c:v>
                </c:pt>
                <c:pt idx="97">
                  <c:v>-4.0947499620485476E-3</c:v>
                </c:pt>
                <c:pt idx="98">
                  <c:v>-4.4453444806691481E-3</c:v>
                </c:pt>
                <c:pt idx="99">
                  <c:v>-4.8305857808134608E-3</c:v>
                </c:pt>
                <c:pt idx="100">
                  <c:v>-4.9031153212874528E-3</c:v>
                </c:pt>
                <c:pt idx="101">
                  <c:v>-5.1918451189190053E-3</c:v>
                </c:pt>
                <c:pt idx="102">
                  <c:v>-5.4221986930487655E-3</c:v>
                </c:pt>
                <c:pt idx="103">
                  <c:v>-5.8693047141821228E-3</c:v>
                </c:pt>
                <c:pt idx="104">
                  <c:v>-5.7412820648100856E-3</c:v>
                </c:pt>
                <c:pt idx="105">
                  <c:v>-5.6508237506907423E-3</c:v>
                </c:pt>
                <c:pt idx="106">
                  <c:v>-6.031453419743516E-3</c:v>
                </c:pt>
                <c:pt idx="107">
                  <c:v>-6.1039829602175097E-3</c:v>
                </c:pt>
                <c:pt idx="108">
                  <c:v>-6.1846126292702877E-3</c:v>
                </c:pt>
                <c:pt idx="109">
                  <c:v>-6.4733424269018385E-3</c:v>
                </c:pt>
                <c:pt idx="110">
                  <c:v>-6.479395615295252E-3</c:v>
                </c:pt>
                <c:pt idx="111">
                  <c:v>-6.5132376869122561E-3</c:v>
                </c:pt>
                <c:pt idx="112">
                  <c:v>-6.9903788584777917E-3</c:v>
                </c:pt>
                <c:pt idx="113">
                  <c:v>-6.6710085275305661E-3</c:v>
                </c:pt>
                <c:pt idx="114">
                  <c:v>-6.9059737327518628E-3</c:v>
                </c:pt>
                <c:pt idx="115">
                  <c:v>-7.2236155472113041E-3</c:v>
                </c:pt>
                <c:pt idx="116">
                  <c:v>-7.3788216969234389E-3</c:v>
                </c:pt>
                <c:pt idx="117">
                  <c:v>-7.5848748853168495E-3</c:v>
                </c:pt>
                <c:pt idx="118">
                  <c:v>-7.8736046829484055E-3</c:v>
                </c:pt>
                <c:pt idx="119">
                  <c:v>-7.6958581284993837E-3</c:v>
                </c:pt>
                <c:pt idx="120">
                  <c:v>-7.8262117026291437E-3</c:v>
                </c:pt>
                <c:pt idx="121">
                  <c:v>-7.6987412431031368E-3</c:v>
                </c:pt>
                <c:pt idx="122">
                  <c:v>-7.7499067054820018E-3</c:v>
                </c:pt>
                <c:pt idx="123">
                  <c:v>-7.7143361173772152E-3</c:v>
                </c:pt>
                <c:pt idx="124">
                  <c:v>-7.9701132108476128E-3</c:v>
                </c:pt>
                <c:pt idx="125">
                  <c:v>-8.1461312488088442E-3</c:v>
                </c:pt>
                <c:pt idx="126">
                  <c:v>-8.3094375270997608E-3</c:v>
                </c:pt>
                <c:pt idx="127">
                  <c:v>-8.5865786986652932E-3</c:v>
                </c:pt>
                <c:pt idx="128">
                  <c:v>-8.6961203845459505E-3</c:v>
                </c:pt>
                <c:pt idx="129">
                  <c:v>-9.0397379081920623E-3</c:v>
                </c:pt>
                <c:pt idx="130">
                  <c:v>-8.886291739479385E-3</c:v>
                </c:pt>
                <c:pt idx="131">
                  <c:v>-8.9917739841145362E-3</c:v>
                </c:pt>
                <c:pt idx="132">
                  <c:v>-9.3221275582442888E-3</c:v>
                </c:pt>
                <c:pt idx="133">
                  <c:v>-9.4351577416121948E-3</c:v>
                </c:pt>
                <c:pt idx="134">
                  <c:v>-9.5082582258444511E-3</c:v>
                </c:pt>
                <c:pt idx="135">
                  <c:v>-9.7345523587287035E-3</c:v>
                </c:pt>
                <c:pt idx="136">
                  <c:v>-9.6614174353712202E-3</c:v>
                </c:pt>
                <c:pt idx="137">
                  <c:v>-9.6293353447536763E-3</c:v>
                </c:pt>
                <c:pt idx="138">
                  <c:v>-1.0005353382714913E-2</c:v>
                </c:pt>
                <c:pt idx="139">
                  <c:v>-9.9229951971743537E-3</c:v>
                </c:pt>
                <c:pt idx="140">
                  <c:v>-1.0079324480490776E-2</c:v>
                </c:pt>
                <c:pt idx="141">
                  <c:v>-1.0088866166371438E-2</c:v>
                </c:pt>
                <c:pt idx="142">
                  <c:v>-1.0368372701819921E-2</c:v>
                </c:pt>
                <c:pt idx="143">
                  <c:v>-1.0542025375898205E-2</c:v>
                </c:pt>
                <c:pt idx="144">
                  <c:v>-1.1089131397031559E-2</c:v>
                </c:pt>
                <c:pt idx="145">
                  <c:v>-1.1143785356897666E-2</c:v>
                </c:pt>
                <c:pt idx="146">
                  <c:v>-1.0879302751964996E-2</c:v>
                </c:pt>
                <c:pt idx="147">
                  <c:v>-1.0846668471501422E-2</c:v>
                </c:pt>
                <c:pt idx="148">
                  <c:v>-1.1114586380883872E-2</c:v>
                </c:pt>
                <c:pt idx="149">
                  <c:v>-1.1133351328947603E-2</c:v>
                </c:pt>
                <c:pt idx="150">
                  <c:v>-1.1092045976146981E-2</c:v>
                </c:pt>
                <c:pt idx="151">
                  <c:v>-1.1751863756950656E-2</c:v>
                </c:pt>
                <c:pt idx="152">
                  <c:v>-1.1453305314252538E-2</c:v>
                </c:pt>
                <c:pt idx="153">
                  <c:v>-1.1688270519473833E-2</c:v>
                </c:pt>
                <c:pt idx="154">
                  <c:v>-1.1680488814592634E-2</c:v>
                </c:pt>
                <c:pt idx="155">
                  <c:v>-1.1753018355066628E-2</c:v>
                </c:pt>
                <c:pt idx="156">
                  <c:v>-1.1940625019093888E-2</c:v>
                </c:pt>
                <c:pt idx="157">
                  <c:v>-1.2017766190659418E-2</c:v>
                </c:pt>
                <c:pt idx="158">
                  <c:v>-1.2535408005118856E-2</c:v>
                </c:pt>
                <c:pt idx="159">
                  <c:v>-1.2144949690999515E-2</c:v>
                </c:pt>
                <c:pt idx="160">
                  <c:v>-1.2595544209620111E-2</c:v>
                </c:pt>
                <c:pt idx="161">
                  <c:v>-1.298078550976443E-2</c:v>
                </c:pt>
                <c:pt idx="162">
                  <c:v>-1.2635991659476563E-2</c:v>
                </c:pt>
                <c:pt idx="163">
                  <c:v>-1.2632821585686894E-2</c:v>
                </c:pt>
                <c:pt idx="164">
                  <c:v>-1.253887477408031E-2</c:v>
                </c:pt>
                <c:pt idx="165">
                  <c:v>-1.3336256890136683E-2</c:v>
                </c:pt>
                <c:pt idx="166">
                  <c:v>-1.3292033983607083E-2</c:v>
                </c:pt>
                <c:pt idx="167">
                  <c:v>-1.3271540519055561E-2</c:v>
                </c:pt>
                <c:pt idx="168">
                  <c:v>-1.3031929243617501E-2</c:v>
                </c:pt>
                <c:pt idx="169">
                  <c:v>-1.3458223376501752E-2</c:v>
                </c:pt>
                <c:pt idx="170">
                  <c:v>-1.3734241414462991E-2</c:v>
                </c:pt>
                <c:pt idx="171">
                  <c:v>-1.3835682971764863E-2</c:v>
                </c:pt>
                <c:pt idx="172">
                  <c:v>-1.3386848434143723E-2</c:v>
                </c:pt>
                <c:pt idx="173">
                  <c:v>-1.3729342824185536E-2</c:v>
                </c:pt>
                <c:pt idx="174">
                  <c:v>-1.3998383867172295E-2</c:v>
                </c:pt>
                <c:pt idx="175">
                  <c:v>-1.4069790274041989E-2</c:v>
                </c:pt>
                <c:pt idx="176">
                  <c:v>-1.3854479384340269E-2</c:v>
                </c:pt>
                <c:pt idx="177">
                  <c:v>-1.4117785662631187E-2</c:v>
                </c:pt>
                <c:pt idx="178">
                  <c:v>-1.4411127091354276E-2</c:v>
                </c:pt>
                <c:pt idx="179">
                  <c:v>-1.4442032855330075E-2</c:v>
                </c:pt>
                <c:pt idx="180">
                  <c:v>-1.4759103726031248E-2</c:v>
                </c:pt>
                <c:pt idx="181">
                  <c:v>-1.4785416612827739E-2</c:v>
                </c:pt>
                <c:pt idx="182">
                  <c:v>-1.4575269544063584E-2</c:v>
                </c:pt>
                <c:pt idx="183">
                  <c:v>-1.4967487839182378E-2</c:v>
                </c:pt>
                <c:pt idx="184">
                  <c:v>-1.5297270469553882E-2</c:v>
                </c:pt>
                <c:pt idx="185">
                  <c:v>-1.4782511769698189E-2</c:v>
                </c:pt>
                <c:pt idx="186">
                  <c:v>-1.4726700237102569E-2</c:v>
                </c:pt>
                <c:pt idx="187">
                  <c:v>-1.5564582996052841E-2</c:v>
                </c:pt>
                <c:pt idx="188">
                  <c:v>-1.5797854123911582E-2</c:v>
                </c:pt>
                <c:pt idx="189">
                  <c:v>-1.552123070306685E-2</c:v>
                </c:pt>
                <c:pt idx="190">
                  <c:v>-1.5659684405775403E-2</c:v>
                </c:pt>
                <c:pt idx="191">
                  <c:v>-1.5377326220234838E-2</c:v>
                </c:pt>
                <c:pt idx="192">
                  <c:v>-1.5561444386774851E-2</c:v>
                </c:pt>
                <c:pt idx="193">
                  <c:v>-1.6237462424736091E-2</c:v>
                </c:pt>
                <c:pt idx="194">
                  <c:v>-1.5897280205539766E-2</c:v>
                </c:pt>
                <c:pt idx="195">
                  <c:v>-1.644550936027742E-2</c:v>
                </c:pt>
                <c:pt idx="196">
                  <c:v>-1.6329627526817426E-2</c:v>
                </c:pt>
                <c:pt idx="197">
                  <c:v>-1.6101604877445393E-2</c:v>
                </c:pt>
                <c:pt idx="198">
                  <c:v>-1.667413441791938E-2</c:v>
                </c:pt>
                <c:pt idx="199">
                  <c:v>-1.6703917048290873E-2</c:v>
                </c:pt>
                <c:pt idx="200">
                  <c:v>-1.6772958091277632E-2</c:v>
                </c:pt>
                <c:pt idx="201">
                  <c:v>-1.6506800162894634E-2</c:v>
                </c:pt>
                <c:pt idx="202">
                  <c:v>-1.6620953479866828E-2</c:v>
                </c:pt>
                <c:pt idx="203">
                  <c:v>-1.6696971517828063E-2</c:v>
                </c:pt>
                <c:pt idx="204">
                  <c:v>-1.657298955578931E-2</c:v>
                </c:pt>
                <c:pt idx="205">
                  <c:v>-1.6970942615603932E-2</c:v>
                </c:pt>
                <c:pt idx="206">
                  <c:v>-1.6938308335140352E-2</c:v>
                </c:pt>
                <c:pt idx="207">
                  <c:v>-1.7493514484852493E-2</c:v>
                </c:pt>
                <c:pt idx="208">
                  <c:v>-1.7144109003473084E-2</c:v>
                </c:pt>
                <c:pt idx="209">
                  <c:v>-1.7445550560774972E-2</c:v>
                </c:pt>
                <c:pt idx="210">
                  <c:v>-1.7151603749168381E-2</c:v>
                </c:pt>
                <c:pt idx="211">
                  <c:v>-1.7931110284616872E-2</c:v>
                </c:pt>
                <c:pt idx="212">
                  <c:v>-1.7974727808262973E-2</c:v>
                </c:pt>
                <c:pt idx="213">
                  <c:v>-1.801779314206305E-2</c:v>
                </c:pt>
                <c:pt idx="214">
                  <c:v>-1.7714623068273382E-2</c:v>
                </c:pt>
                <c:pt idx="215">
                  <c:v>-1.793281707257886E-2</c:v>
                </c:pt>
                <c:pt idx="216">
                  <c:v>-1.7983982534957723E-2</c:v>
                </c:pt>
                <c:pt idx="217">
                  <c:v>-1.8343800315761393E-2</c:v>
                </c:pt>
                <c:pt idx="218">
                  <c:v>-1.835221886803776E-2</c:v>
                </c:pt>
                <c:pt idx="219">
                  <c:v>-1.8245560296760849E-2</c:v>
                </c:pt>
                <c:pt idx="220">
                  <c:v>-1.8134290094392411E-2</c:v>
                </c:pt>
                <c:pt idx="221">
                  <c:v>-1.8694107875196087E-2</c:v>
                </c:pt>
                <c:pt idx="222">
                  <c:v>-1.8724461449325831E-2</c:v>
                </c:pt>
                <c:pt idx="223">
                  <c:v>-1.8771567470459195E-2</c:v>
                </c:pt>
                <c:pt idx="224">
                  <c:v>-1.904758550842043E-2</c:v>
                </c:pt>
                <c:pt idx="225">
                  <c:v>-1.9149027065722315E-2</c:v>
                </c:pt>
                <c:pt idx="226">
                  <c:v>-1.9053957120511427E-2</c:v>
                </c:pt>
                <c:pt idx="227">
                  <c:v>-1.9455950867659333E-2</c:v>
                </c:pt>
                <c:pt idx="228">
                  <c:v>-1.9561451866206711E-2</c:v>
                </c:pt>
                <c:pt idx="229">
                  <c:v>-1.9583134367999428E-2</c:v>
                </c:pt>
                <c:pt idx="230">
                  <c:v>-1.9589187556392846E-2</c:v>
                </c:pt>
                <c:pt idx="231">
                  <c:v>-1.9702217739760747E-2</c:v>
                </c:pt>
                <c:pt idx="232">
                  <c:v>-1.9641223632315317E-2</c:v>
                </c:pt>
                <c:pt idx="233">
                  <c:v>-1.9650765318195977E-2</c:v>
                </c:pt>
                <c:pt idx="234">
                  <c:v>-1.9952206875497855E-2</c:v>
                </c:pt>
                <c:pt idx="235">
                  <c:v>-1.9836325042037872E-2</c:v>
                </c:pt>
                <c:pt idx="236">
                  <c:v>-2.0137766599339749E-2</c:v>
                </c:pt>
                <c:pt idx="237">
                  <c:v>-2.0026496396971311E-2</c:v>
                </c:pt>
                <c:pt idx="238">
                  <c:v>-2.0099025937445295E-2</c:v>
                </c:pt>
                <c:pt idx="239">
                  <c:v>-2.0132868009062301E-2</c:v>
                </c:pt>
                <c:pt idx="240">
                  <c:v>-2.0688074158774435E-2</c:v>
                </c:pt>
                <c:pt idx="241">
                  <c:v>-2.0852503570669652E-2</c:v>
                </c:pt>
                <c:pt idx="242">
                  <c:v>-2.0873633882616326E-2</c:v>
                </c:pt>
                <c:pt idx="243">
                  <c:v>-2.0600498959258855E-2</c:v>
                </c:pt>
                <c:pt idx="244">
                  <c:v>-2.0860316740062518E-2</c:v>
                </c:pt>
                <c:pt idx="245">
                  <c:v>-2.0952535035181311E-2</c:v>
                </c:pt>
                <c:pt idx="246">
                  <c:v>-2.1049364961391655E-2</c:v>
                </c:pt>
                <c:pt idx="247">
                  <c:v>-2.1142706390114747E-2</c:v>
                </c:pt>
                <c:pt idx="248">
                  <c:v>-2.1039536316325099E-2</c:v>
                </c:pt>
                <c:pt idx="249">
                  <c:v>-2.1386642337458447E-2</c:v>
                </c:pt>
                <c:pt idx="250">
                  <c:v>-2.1488083894760319E-2</c:v>
                </c:pt>
                <c:pt idx="251">
                  <c:v>-2.1394137083153731E-2</c:v>
                </c:pt>
                <c:pt idx="252">
                  <c:v>-2.1670155121114979E-2</c:v>
                </c:pt>
                <c:pt idx="253">
                  <c:v>-2.1663496549838065E-2</c:v>
                </c:pt>
                <c:pt idx="254">
                  <c:v>-2.1897890811301092E-2</c:v>
                </c:pt>
                <c:pt idx="255">
                  <c:v>-2.1965808720683558E-2</c:v>
                </c:pt>
                <c:pt idx="256">
                  <c:v>-2.2296162294813317E-2</c:v>
                </c:pt>
                <c:pt idx="257">
                  <c:v>-2.2076791963866089E-2</c:v>
                </c:pt>
                <c:pt idx="258">
                  <c:v>-2.2281722018655206E-2</c:v>
                </c:pt>
                <c:pt idx="259">
                  <c:v>-2.2266963318799526E-2</c:v>
                </c:pt>
                <c:pt idx="260">
                  <c:v>-2.2463793245009859E-2</c:v>
                </c:pt>
                <c:pt idx="261">
                  <c:v>-2.2644422914062629E-2</c:v>
                </c:pt>
                <c:pt idx="262">
                  <c:v>-2.2541252840272977E-2</c:v>
                </c:pt>
                <c:pt idx="263">
                  <c:v>-2.2780258732827546E-2</c:v>
                </c:pt>
                <c:pt idx="264">
                  <c:v>-2.2797900547286986E-2</c:v>
                </c:pt>
                <c:pt idx="265">
                  <c:v>-2.2965818456669437E-2</c:v>
                </c:pt>
                <c:pt idx="266">
                  <c:v>-2.3104272159377985E-2</c:v>
                </c:pt>
                <c:pt idx="267">
                  <c:v>-2.3151378180511332E-2</c:v>
                </c:pt>
                <c:pt idx="268">
                  <c:v>-2.326091986639198E-2</c:v>
                </c:pt>
                <c:pt idx="269">
                  <c:v>-2.3349649664023545E-2</c:v>
                </c:pt>
                <c:pt idx="270">
                  <c:v>-2.3438379461655098E-2</c:v>
                </c:pt>
                <c:pt idx="271">
                  <c:v>-2.3439821018956981E-2</c:v>
                </c:pt>
                <c:pt idx="272">
                  <c:v>-2.3523939185496997E-2</c:v>
                </c:pt>
                <c:pt idx="273">
                  <c:v>-2.3625380742798879E-2</c:v>
                </c:pt>
                <c:pt idx="274">
                  <c:v>-2.3526822300100746E-2</c:v>
                </c:pt>
                <c:pt idx="275">
                  <c:v>-2.3782028449812889E-2</c:v>
                </c:pt>
                <c:pt idx="276">
                  <c:v>-2.4086958504602008E-2</c:v>
                </c:pt>
                <c:pt idx="277">
                  <c:v>-2.3901111821574193E-2</c:v>
                </c:pt>
                <c:pt idx="278">
                  <c:v>-2.4215265138546393E-2</c:v>
                </c:pt>
                <c:pt idx="279">
                  <c:v>-2.4408035623511227E-2</c:v>
                </c:pt>
                <c:pt idx="280">
                  <c:v>-2.4113536622058611E-2</c:v>
                </c:pt>
                <c:pt idx="281">
                  <c:v>-2.4510918738114989E-2</c:v>
                </c:pt>
                <c:pt idx="282">
                  <c:v>-2.4790425273563468E-2</c:v>
                </c:pt>
                <c:pt idx="283">
                  <c:v>-2.4284337646044825E-2</c:v>
                </c:pt>
                <c:pt idx="284">
                  <c:v>-2.4706020147837529E-2</c:v>
                </c:pt>
                <c:pt idx="285">
                  <c:v>-2.4991261447981843E-2</c:v>
                </c:pt>
                <c:pt idx="286">
                  <c:v>-2.4778868112009113E-2</c:v>
                </c:pt>
                <c:pt idx="287">
                  <c:v>-2.4976821171823732E-2</c:v>
                </c:pt>
                <c:pt idx="288">
                  <c:v>-2.521121543328677E-2</c:v>
                </c:pt>
                <c:pt idx="289">
                  <c:v>-2.5275092655335965E-2</c:v>
                </c:pt>
                <c:pt idx="290">
                  <c:v>-2.5414098547890521E-2</c:v>
                </c:pt>
                <c:pt idx="291">
                  <c:v>-2.5319028602679643E-2</c:v>
                </c:pt>
                <c:pt idx="292">
                  <c:v>-2.5329693422164602E-2</c:v>
                </c:pt>
                <c:pt idx="293">
                  <c:v>-2.5572187812206416E-2</c:v>
                </c:pt>
                <c:pt idx="294">
                  <c:v>-2.5494441257757395E-2</c:v>
                </c:pt>
                <c:pt idx="295">
                  <c:v>-2.5783171055388944E-2</c:v>
                </c:pt>
                <c:pt idx="296">
                  <c:v>-2.5563800724441726E-2</c:v>
                </c:pt>
                <c:pt idx="297">
                  <c:v>-2.5773342410322374E-2</c:v>
                </c:pt>
                <c:pt idx="298">
                  <c:v>-2.6020448431455734E-2</c:v>
                </c:pt>
                <c:pt idx="299">
                  <c:v>-2.6009178229087295E-2</c:v>
                </c:pt>
                <c:pt idx="300">
                  <c:v>-2.6034920172125518E-2</c:v>
                </c:pt>
                <c:pt idx="301">
                  <c:v>-2.6265825936101307E-2</c:v>
                </c:pt>
                <c:pt idx="302">
                  <c:v>-2.6267267493403169E-2</c:v>
                </c:pt>
                <c:pt idx="303">
                  <c:v>-2.6422473643115316E-2</c:v>
                </c:pt>
                <c:pt idx="304">
                  <c:v>-2.6582291423918988E-2</c:v>
                </c:pt>
                <c:pt idx="305">
                  <c:v>-2.6782609847616577E-2</c:v>
                </c:pt>
                <c:pt idx="306">
                  <c:v>-2.6564933594031902E-2</c:v>
                </c:pt>
                <c:pt idx="307">
                  <c:v>-2.7082004464733071E-2</c:v>
                </c:pt>
                <c:pt idx="308">
                  <c:v>-2.6878834390943424E-2</c:v>
                </c:pt>
                <c:pt idx="309">
                  <c:v>-2.6871052686062213E-2</c:v>
                </c:pt>
                <c:pt idx="310">
                  <c:v>-2.7410058578616798E-2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E7-403F-8CFC-84E6ABDE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680016"/>
        <c:axId val="568682512"/>
      </c:scatterChart>
      <c:valAx>
        <c:axId val="568680016"/>
        <c:scaling>
          <c:orientation val="minMax"/>
          <c:max val="260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2512"/>
        <c:crosses val="autoZero"/>
        <c:crossBetween val="midCat"/>
      </c:valAx>
      <c:valAx>
        <c:axId val="568682512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Absorbance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0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241789</xdr:colOff>
      <xdr:row>10</xdr:row>
      <xdr:rowOff>21978</xdr:rowOff>
    </xdr:from>
    <xdr:to>
      <xdr:col>7</xdr:col>
      <xdr:colOff>380999</xdr:colOff>
      <xdr:row>24</xdr:row>
      <xdr:rowOff>175842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227135</xdr:colOff>
      <xdr:row>25</xdr:row>
      <xdr:rowOff>73269</xdr:rowOff>
    </xdr:from>
    <xdr:to>
      <xdr:col>7</xdr:col>
      <xdr:colOff>366345</xdr:colOff>
      <xdr:row>40</xdr:row>
      <xdr:rowOff>36633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402981</xdr:colOff>
      <xdr:row>10</xdr:row>
      <xdr:rowOff>29308</xdr:rowOff>
    </xdr:from>
    <xdr:to>
      <xdr:col>13</xdr:col>
      <xdr:colOff>344364</xdr:colOff>
      <xdr:row>24</xdr:row>
      <xdr:rowOff>183172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402981</xdr:colOff>
      <xdr:row>25</xdr:row>
      <xdr:rowOff>51286</xdr:rowOff>
    </xdr:from>
    <xdr:to>
      <xdr:col>13</xdr:col>
      <xdr:colOff>344364</xdr:colOff>
      <xdr:row>40</xdr:row>
      <xdr:rowOff>14650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498231</xdr:colOff>
      <xdr:row>9</xdr:row>
      <xdr:rowOff>117231</xdr:rowOff>
    </xdr:from>
    <xdr:to>
      <xdr:col>19</xdr:col>
      <xdr:colOff>234459</xdr:colOff>
      <xdr:row>25</xdr:row>
      <xdr:rowOff>65941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293076</xdr:colOff>
      <xdr:row>9</xdr:row>
      <xdr:rowOff>124556</xdr:rowOff>
    </xdr:from>
    <xdr:to>
      <xdr:col>25</xdr:col>
      <xdr:colOff>205154</xdr:colOff>
      <xdr:row>25</xdr:row>
      <xdr:rowOff>65942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319"/>
  <sheetViews>
    <sheetView tabSelected="1" topLeftCell="K1" zoomScale="130" zoomScaleNormal="130" workbookViewId="0">
      <selection activeCell="T6" sqref="T6"/>
    </sheetView>
  </sheetViews>
  <sheetFormatPr defaultRowHeight="15" x14ac:dyDescent="0.25"/>
  <cols>
    <col min="2" max="2" width="8.28515625" bestFit="1" customWidth="1"/>
    <col min="3" max="3" width="8.42578125" bestFit="1" customWidth="1"/>
    <col min="4" max="4" width="7.5703125" bestFit="1" customWidth="1"/>
    <col min="6" max="6" width="13.7109375" bestFit="1" customWidth="1"/>
    <col min="7" max="7" width="13.5703125" bestFit="1" customWidth="1"/>
    <col min="8" max="8" width="13.5703125" customWidth="1"/>
    <col min="9" max="9" width="13.5703125" bestFit="1" customWidth="1"/>
    <col min="15" max="15" width="13.5703125" bestFit="1" customWidth="1"/>
    <col min="16" max="16" width="9.85546875" customWidth="1"/>
    <col min="17" max="18" width="12.85546875" bestFit="1" customWidth="1"/>
    <col min="23" max="23" width="11.42578125" customWidth="1"/>
  </cols>
  <sheetData>
    <row r="2" spans="1:21" x14ac:dyDescent="0.25">
      <c r="N2" s="1" t="s">
        <v>2</v>
      </c>
      <c r="O2">
        <v>20</v>
      </c>
    </row>
    <row r="3" spans="1:21" x14ac:dyDescent="0.25">
      <c r="B3" t="s">
        <v>9</v>
      </c>
      <c r="C3" t="s">
        <v>7</v>
      </c>
      <c r="D3" t="s">
        <v>8</v>
      </c>
      <c r="N3" s="1" t="s">
        <v>3</v>
      </c>
      <c r="O3">
        <v>33.5</v>
      </c>
    </row>
    <row r="4" spans="1:21" x14ac:dyDescent="0.25">
      <c r="A4" t="s">
        <v>2</v>
      </c>
      <c r="B4">
        <v>20</v>
      </c>
      <c r="C4">
        <v>20</v>
      </c>
      <c r="D4">
        <v>20</v>
      </c>
      <c r="E4" s="1" t="s">
        <v>21</v>
      </c>
      <c r="F4">
        <f>INTERCEPT(C59:C79,B59:B79)</f>
        <v>4.8092640692640694E-2</v>
      </c>
      <c r="J4" s="1" t="s">
        <v>21</v>
      </c>
      <c r="K4">
        <f>INTERCEPT(D59:D79,B59:B79)</f>
        <v>7.8337662337662331E-2</v>
      </c>
      <c r="N4" s="1" t="s">
        <v>21</v>
      </c>
      <c r="O4" s="3">
        <f>INTERCEPT(O59:O79,B59:B79)</f>
        <v>2.805974025974025E-2</v>
      </c>
    </row>
    <row r="5" spans="1:21" x14ac:dyDescent="0.25">
      <c r="A5" t="s">
        <v>3</v>
      </c>
      <c r="B5">
        <v>0</v>
      </c>
      <c r="C5">
        <v>36.052</v>
      </c>
      <c r="D5">
        <v>33.884999999999998</v>
      </c>
      <c r="E5" s="1" t="s">
        <v>22</v>
      </c>
      <c r="F5">
        <f>SLOPE(C59:C79,B59:B79)</f>
        <v>-1.7181818181818181E-4</v>
      </c>
      <c r="J5" s="1" t="s">
        <v>22</v>
      </c>
      <c r="K5">
        <f>SLOPE(D59:D79,B59:B79)</f>
        <v>-2.7506493506493504E-4</v>
      </c>
      <c r="N5" s="1" t="s">
        <v>22</v>
      </c>
      <c r="O5" s="3">
        <f>SLOPE(O59:O79,B59:B79)</f>
        <v>-6.961038961038957E-5</v>
      </c>
      <c r="S5" s="1" t="s">
        <v>23</v>
      </c>
      <c r="T5" s="2">
        <f>SLOPE(T39:T59,M39:M59)*1000000</f>
        <v>3.6450578604518173</v>
      </c>
      <c r="U5" t="s">
        <v>27</v>
      </c>
    </row>
    <row r="6" spans="1:21" x14ac:dyDescent="0.25">
      <c r="A6" t="s">
        <v>5</v>
      </c>
      <c r="B6">
        <v>0</v>
      </c>
      <c r="C6">
        <v>0</v>
      </c>
      <c r="D6">
        <v>45</v>
      </c>
    </row>
    <row r="8" spans="1:21" x14ac:dyDescent="0.25">
      <c r="B8" t="s">
        <v>0</v>
      </c>
      <c r="C8" t="s">
        <v>1</v>
      </c>
      <c r="D8" t="s">
        <v>17</v>
      </c>
      <c r="E8" t="s">
        <v>13</v>
      </c>
      <c r="F8" t="s">
        <v>24</v>
      </c>
      <c r="G8" t="s">
        <v>10</v>
      </c>
      <c r="H8" t="s">
        <v>12</v>
      </c>
      <c r="I8" t="s">
        <v>11</v>
      </c>
      <c r="J8" t="s">
        <v>14</v>
      </c>
      <c r="K8" t="s">
        <v>25</v>
      </c>
      <c r="L8" t="s">
        <v>16</v>
      </c>
      <c r="M8" t="s">
        <v>18</v>
      </c>
      <c r="O8" t="s">
        <v>19</v>
      </c>
      <c r="P8" t="s">
        <v>26</v>
      </c>
      <c r="Q8" t="s">
        <v>4</v>
      </c>
      <c r="R8" t="s">
        <v>6</v>
      </c>
      <c r="S8" t="s">
        <v>20</v>
      </c>
      <c r="T8" t="s">
        <v>15</v>
      </c>
      <c r="U8" t="s">
        <v>28</v>
      </c>
    </row>
    <row r="9" spans="1:21" x14ac:dyDescent="0.25">
      <c r="B9">
        <v>190</v>
      </c>
      <c r="C9">
        <v>2.0592999999999999</v>
      </c>
      <c r="D9">
        <v>2.0596000000000001</v>
      </c>
      <c r="E9">
        <f t="shared" ref="E9:E72" si="0">(1.1500276+0.0284*$C$4)*EXP((-0.3101349+0.001222*$C$4)*($B9-210))*$C$5/35</f>
        <v>536.29756619083662</v>
      </c>
      <c r="F9">
        <f t="shared" ref="F9:F72" si="1">C9-($F$5*B9+$F$4)</f>
        <v>2.0438528138528138</v>
      </c>
      <c r="G9">
        <f>F9/$C$5</f>
        <v>5.6691801116520966E-2</v>
      </c>
      <c r="H9">
        <f t="shared" ref="H9:H72" si="2">(1.1500276+0.0284*$D$4)*EXP((-0.3101349+0.001222*$D$4)*($B9-210))*$D$5/35</f>
        <v>504.06199462932699</v>
      </c>
      <c r="I9">
        <f>$G9/$E9*H9</f>
        <v>5.3284191746180869E-2</v>
      </c>
      <c r="J9">
        <f>I9*$D$5</f>
        <v>1.8055348373193387</v>
      </c>
      <c r="K9">
        <f t="shared" ref="K9:K72" si="3">D9-($K$5*B9+$K$4)</f>
        <v>2.0335246753246756</v>
      </c>
      <c r="L9">
        <f>K9-J9</f>
        <v>0.2279898380053369</v>
      </c>
      <c r="M9">
        <f>L9/($D$6/1000000)</f>
        <v>5066.4408445630415</v>
      </c>
      <c r="O9">
        <v>2.0608</v>
      </c>
      <c r="P9">
        <f t="shared" ref="P9:P72" si="4">O9-($O$5*B9+$O$4)</f>
        <v>2.0459662337662339</v>
      </c>
      <c r="Q9">
        <f>(1.1500276+0.0284*$O$2)*EXP((-0.3101349+0.001222*$O$2)*($B9-210))*$O$3/35</f>
        <v>498.33486262601309</v>
      </c>
      <c r="R9">
        <f>$G9/$E9*Q9</f>
        <v>5.2678778913886941E-2</v>
      </c>
      <c r="S9">
        <f>R9*$O$3</f>
        <v>1.7647390936152125</v>
      </c>
      <c r="T9">
        <f>P9-S9</f>
        <v>0.28122714015102135</v>
      </c>
      <c r="U9">
        <f>T9-$T$5/1000000*M9</f>
        <v>0.26275967012603269</v>
      </c>
    </row>
    <row r="10" spans="1:21" x14ac:dyDescent="0.25">
      <c r="B10">
        <v>191</v>
      </c>
      <c r="C10">
        <v>2.1674000000000002</v>
      </c>
      <c r="D10">
        <v>2.1962000000000002</v>
      </c>
      <c r="E10">
        <f t="shared" si="0"/>
        <v>403.02325614191898</v>
      </c>
      <c r="F10">
        <f t="shared" si="1"/>
        <v>2.1521246320346323</v>
      </c>
      <c r="G10">
        <f t="shared" ref="G10:G73" si="5">F10/$C$5</f>
        <v>5.9695013647915018E-2</v>
      </c>
      <c r="H10">
        <f t="shared" si="2"/>
        <v>378.79848647422955</v>
      </c>
      <c r="I10">
        <f t="shared" ref="I10:I73" si="6">$G10/$E10*H10</f>
        <v>5.610688831298126E-2</v>
      </c>
      <c r="J10">
        <f>I10*$D$5</f>
        <v>1.9011819104853698</v>
      </c>
      <c r="K10">
        <f t="shared" si="3"/>
        <v>2.1703997402597404</v>
      </c>
      <c r="L10">
        <f t="shared" ref="L10:L73" si="7">K10-J10</f>
        <v>0.26921782977437059</v>
      </c>
      <c r="M10">
        <f t="shared" ref="M10:M73" si="8">L10/($D$6/1000000)</f>
        <v>5982.6184394304573</v>
      </c>
      <c r="O10">
        <v>2.1627000000000001</v>
      </c>
      <c r="P10">
        <f t="shared" si="4"/>
        <v>2.1479358441558443</v>
      </c>
      <c r="Q10">
        <f t="shared" ref="Q9:Q72" si="9">(1.1500276+0.0284*$O$2)*EXP((-0.3101349+0.001222*$O$2)*($B10-210))*$O$3/35</f>
        <v>374.49459338606147</v>
      </c>
      <c r="R10">
        <f t="shared" ref="R10:R73" si="10">$G10/$E10*Q10</f>
        <v>5.5469404116419437E-2</v>
      </c>
      <c r="S10">
        <f t="shared" ref="S9:S72" si="11">R10*$O$3</f>
        <v>1.8582250379000511</v>
      </c>
      <c r="T10">
        <f t="shared" ref="T10:T73" si="12">P10-S10</f>
        <v>0.28971080625579315</v>
      </c>
      <c r="U10">
        <f t="shared" ref="U10:U73" si="13">T10-$T$5/1000000*M10</f>
        <v>0.26790381588706319</v>
      </c>
    </row>
    <row r="11" spans="1:21" x14ac:dyDescent="0.25">
      <c r="B11">
        <v>192</v>
      </c>
      <c r="C11">
        <v>2.3254000000000001</v>
      </c>
      <c r="D11">
        <v>2.3565</v>
      </c>
      <c r="E11">
        <f t="shared" si="0"/>
        <v>302.86869684103061</v>
      </c>
      <c r="F11">
        <f t="shared" si="1"/>
        <v>2.3102964502164505</v>
      </c>
      <c r="G11">
        <f t="shared" si="5"/>
        <v>6.4082338017764626E-2</v>
      </c>
      <c r="H11">
        <f t="shared" si="2"/>
        <v>284.66397959775662</v>
      </c>
      <c r="I11">
        <f t="shared" si="6"/>
        <v>6.0230501046598085E-2</v>
      </c>
      <c r="J11">
        <f t="shared" ref="J11:J73" si="14">I11*$D$5</f>
        <v>2.0409105279639759</v>
      </c>
      <c r="K11">
        <f t="shared" si="3"/>
        <v>2.3309748051948054</v>
      </c>
      <c r="L11">
        <f t="shared" si="7"/>
        <v>0.2900642772308295</v>
      </c>
      <c r="M11">
        <f t="shared" si="8"/>
        <v>6445.8728273517663</v>
      </c>
      <c r="O11">
        <v>2.3374999999999999</v>
      </c>
      <c r="P11">
        <f t="shared" si="4"/>
        <v>2.3228054545454544</v>
      </c>
      <c r="Q11">
        <f t="shared" si="9"/>
        <v>281.42963897077897</v>
      </c>
      <c r="R11">
        <f t="shared" si="10"/>
        <v>5.9546164528878134E-2</v>
      </c>
      <c r="S11">
        <f t="shared" si="11"/>
        <v>1.9947965117174176</v>
      </c>
      <c r="T11">
        <f t="shared" si="12"/>
        <v>0.32800894282803683</v>
      </c>
      <c r="U11">
        <f t="shared" si="13"/>
        <v>0.30451336341122548</v>
      </c>
    </row>
    <row r="12" spans="1:21" x14ac:dyDescent="0.25">
      <c r="B12">
        <v>193</v>
      </c>
      <c r="C12">
        <v>2.4540000000000002</v>
      </c>
      <c r="D12">
        <v>2.4899</v>
      </c>
      <c r="E12">
        <f t="shared" si="0"/>
        <v>227.60336067029041</v>
      </c>
      <c r="F12">
        <f t="shared" si="1"/>
        <v>2.4390682683982687</v>
      </c>
      <c r="G12">
        <f t="shared" si="5"/>
        <v>6.765417364912539E-2</v>
      </c>
      <c r="H12">
        <f t="shared" si="2"/>
        <v>213.92266382760428</v>
      </c>
      <c r="I12">
        <f t="shared" si="6"/>
        <v>6.358764213082807E-2</v>
      </c>
      <c r="J12">
        <f t="shared" si="14"/>
        <v>2.1546672536031091</v>
      </c>
      <c r="K12">
        <f t="shared" si="3"/>
        <v>2.46464987012987</v>
      </c>
      <c r="L12">
        <f t="shared" si="7"/>
        <v>0.30998261652676096</v>
      </c>
      <c r="M12">
        <f t="shared" si="8"/>
        <v>6888.5025894835762</v>
      </c>
      <c r="O12">
        <v>2.468</v>
      </c>
      <c r="P12">
        <f t="shared" si="4"/>
        <v>2.4533750649350647</v>
      </c>
      <c r="Q12">
        <f t="shared" si="9"/>
        <v>211.4920831702743</v>
      </c>
      <c r="R12">
        <f t="shared" si="10"/>
        <v>6.2865161911841244E-2</v>
      </c>
      <c r="S12">
        <f t="shared" si="11"/>
        <v>2.1059829240466819</v>
      </c>
      <c r="T12">
        <f t="shared" si="12"/>
        <v>0.34739214088838288</v>
      </c>
      <c r="U12">
        <f t="shared" si="13"/>
        <v>0.32228315037784305</v>
      </c>
    </row>
    <row r="13" spans="1:21" x14ac:dyDescent="0.25">
      <c r="B13">
        <v>194</v>
      </c>
      <c r="C13">
        <v>2.5222000000000002</v>
      </c>
      <c r="D13">
        <v>2.5438000000000001</v>
      </c>
      <c r="E13">
        <f t="shared" si="0"/>
        <v>171.04207311196888</v>
      </c>
      <c r="F13">
        <f t="shared" si="1"/>
        <v>2.507440086580087</v>
      </c>
      <c r="G13">
        <f t="shared" si="5"/>
        <v>6.9550651463998858E-2</v>
      </c>
      <c r="H13">
        <f t="shared" si="2"/>
        <v>160.76114077995854</v>
      </c>
      <c r="I13">
        <f t="shared" si="6"/>
        <v>6.5370127173460593E-2</v>
      </c>
      <c r="J13">
        <f t="shared" si="14"/>
        <v>2.215066759272712</v>
      </c>
      <c r="K13">
        <f t="shared" si="3"/>
        <v>2.5188249350649352</v>
      </c>
      <c r="L13">
        <f t="shared" si="7"/>
        <v>0.3037581757922232</v>
      </c>
      <c r="M13">
        <f t="shared" si="8"/>
        <v>6750.1816842716262</v>
      </c>
      <c r="O13">
        <v>2.5226999999999999</v>
      </c>
      <c r="P13">
        <f t="shared" si="4"/>
        <v>2.5081446753246754</v>
      </c>
      <c r="Q13">
        <f t="shared" si="9"/>
        <v>158.93457919812931</v>
      </c>
      <c r="R13">
        <f t="shared" si="10"/>
        <v>6.4627394431486795E-2</v>
      </c>
      <c r="S13">
        <f t="shared" si="11"/>
        <v>2.1650177134548079</v>
      </c>
      <c r="T13">
        <f t="shared" si="12"/>
        <v>0.34312696186986757</v>
      </c>
      <c r="U13">
        <f t="shared" si="13"/>
        <v>0.31852215906213538</v>
      </c>
    </row>
    <row r="14" spans="1:21" x14ac:dyDescent="0.25">
      <c r="B14">
        <v>195</v>
      </c>
      <c r="C14">
        <v>2.5377999999999998</v>
      </c>
      <c r="D14">
        <v>2.5748000000000002</v>
      </c>
      <c r="E14">
        <f t="shared" si="0"/>
        <v>128.5367258562579</v>
      </c>
      <c r="F14">
        <f t="shared" si="1"/>
        <v>2.5232119047619044</v>
      </c>
      <c r="G14">
        <f t="shared" si="5"/>
        <v>6.9988125617494304E-2</v>
      </c>
      <c r="H14">
        <f t="shared" si="2"/>
        <v>120.810688883815</v>
      </c>
      <c r="I14">
        <f t="shared" si="6"/>
        <v>6.578130579576151E-2</v>
      </c>
      <c r="J14">
        <f t="shared" si="14"/>
        <v>2.2289995468893786</v>
      </c>
      <c r="K14">
        <f t="shared" si="3"/>
        <v>2.5501</v>
      </c>
      <c r="L14">
        <f t="shared" si="7"/>
        <v>0.32110045311062141</v>
      </c>
      <c r="M14">
        <f t="shared" si="8"/>
        <v>7135.5656246804756</v>
      </c>
      <c r="O14">
        <v>2.5466000000000002</v>
      </c>
      <c r="P14">
        <f t="shared" si="4"/>
        <v>2.532114285714286</v>
      </c>
      <c r="Q14">
        <f t="shared" si="9"/>
        <v>119.43804272119827</v>
      </c>
      <c r="R14">
        <f t="shared" si="10"/>
        <v>6.5033901258905458E-2</v>
      </c>
      <c r="S14">
        <f t="shared" si="11"/>
        <v>2.1786356921733327</v>
      </c>
      <c r="T14">
        <f t="shared" si="12"/>
        <v>0.35347859354095323</v>
      </c>
      <c r="U14">
        <f t="shared" si="13"/>
        <v>0.32746904397194188</v>
      </c>
    </row>
    <row r="15" spans="1:21" x14ac:dyDescent="0.25">
      <c r="B15">
        <v>196</v>
      </c>
      <c r="C15">
        <v>2.5855999999999999</v>
      </c>
      <c r="D15">
        <v>2.6202000000000001</v>
      </c>
      <c r="E15">
        <f t="shared" si="0"/>
        <v>96.594303338636735</v>
      </c>
      <c r="F15">
        <f t="shared" si="1"/>
        <v>2.5711837229437227</v>
      </c>
      <c r="G15">
        <f t="shared" si="5"/>
        <v>7.1318754103620402E-2</v>
      </c>
      <c r="H15">
        <f t="shared" si="2"/>
        <v>90.788249434974631</v>
      </c>
      <c r="I15">
        <f t="shared" si="6"/>
        <v>6.7031953367390915E-2</v>
      </c>
      <c r="J15">
        <f t="shared" si="14"/>
        <v>2.2713777398540409</v>
      </c>
      <c r="K15">
        <f t="shared" si="3"/>
        <v>2.595775064935065</v>
      </c>
      <c r="L15">
        <f t="shared" si="7"/>
        <v>0.32439732508102415</v>
      </c>
      <c r="M15">
        <f t="shared" si="8"/>
        <v>7208.8294462449803</v>
      </c>
      <c r="O15">
        <v>2.5912999999999999</v>
      </c>
      <c r="P15">
        <f t="shared" si="4"/>
        <v>2.576883896103896</v>
      </c>
      <c r="Q15">
        <f t="shared" si="9"/>
        <v>89.756717015542279</v>
      </c>
      <c r="R15">
        <f t="shared" si="10"/>
        <v>6.6270339023390745E-2</v>
      </c>
      <c r="S15">
        <f t="shared" si="11"/>
        <v>2.2200563572835899</v>
      </c>
      <c r="T15">
        <f t="shared" si="12"/>
        <v>0.35682753882030616</v>
      </c>
      <c r="U15">
        <f t="shared" si="13"/>
        <v>0.33055093838261435</v>
      </c>
    </row>
    <row r="16" spans="1:21" x14ac:dyDescent="0.25">
      <c r="B16">
        <v>197</v>
      </c>
      <c r="C16">
        <v>2.6436999999999999</v>
      </c>
      <c r="D16">
        <v>2.6735000000000002</v>
      </c>
      <c r="E16">
        <f t="shared" si="0"/>
        <v>72.589832791530597</v>
      </c>
      <c r="F16">
        <f t="shared" si="1"/>
        <v>2.6294555411255409</v>
      </c>
      <c r="G16">
        <f t="shared" si="5"/>
        <v>7.2935081025339535E-2</v>
      </c>
      <c r="H16">
        <f t="shared" si="2"/>
        <v>68.226630537584995</v>
      </c>
      <c r="I16">
        <f t="shared" si="6"/>
        <v>6.855112672094836E-2</v>
      </c>
      <c r="J16">
        <f t="shared" si="14"/>
        <v>2.3228549289393352</v>
      </c>
      <c r="K16">
        <f t="shared" si="3"/>
        <v>2.6493501298701299</v>
      </c>
      <c r="L16">
        <f t="shared" si="7"/>
        <v>0.32649520093079465</v>
      </c>
      <c r="M16">
        <f t="shared" si="8"/>
        <v>7255.4489095732142</v>
      </c>
      <c r="O16">
        <v>2.6440000000000001</v>
      </c>
      <c r="P16">
        <f t="shared" si="4"/>
        <v>2.6296535064935065</v>
      </c>
      <c r="Q16">
        <f t="shared" si="9"/>
        <v>67.451442319878936</v>
      </c>
      <c r="R16">
        <f t="shared" si="10"/>
        <v>6.7772251590726584E-2</v>
      </c>
      <c r="S16">
        <f t="shared" si="11"/>
        <v>2.2703704282893407</v>
      </c>
      <c r="T16">
        <f t="shared" si="12"/>
        <v>0.35928307820416583</v>
      </c>
      <c r="U16">
        <f t="shared" si="13"/>
        <v>0.33283654712521943</v>
      </c>
    </row>
    <row r="17" spans="2:21" x14ac:dyDescent="0.25">
      <c r="B17">
        <v>198</v>
      </c>
      <c r="C17">
        <v>2.6758000000000002</v>
      </c>
      <c r="D17">
        <v>2.7201</v>
      </c>
      <c r="E17">
        <f t="shared" si="0"/>
        <v>54.550668544391364</v>
      </c>
      <c r="F17">
        <f t="shared" si="1"/>
        <v>2.6617273593073594</v>
      </c>
      <c r="G17">
        <f t="shared" si="5"/>
        <v>7.383022743002772E-2</v>
      </c>
      <c r="H17">
        <f t="shared" si="2"/>
        <v>51.271757562040982</v>
      </c>
      <c r="I17">
        <f t="shared" si="6"/>
        <v>6.9392468003619479E-2</v>
      </c>
      <c r="J17">
        <f t="shared" si="14"/>
        <v>2.351363778302646</v>
      </c>
      <c r="K17">
        <f t="shared" si="3"/>
        <v>2.6962251948051947</v>
      </c>
      <c r="L17">
        <f t="shared" si="7"/>
        <v>0.34486141650254876</v>
      </c>
      <c r="M17">
        <f t="shared" si="8"/>
        <v>7663.587033389972</v>
      </c>
      <c r="O17">
        <v>2.6876000000000002</v>
      </c>
      <c r="P17">
        <f t="shared" si="4"/>
        <v>2.6733231168831173</v>
      </c>
      <c r="Q17">
        <f t="shared" si="9"/>
        <v>50.689209925582787</v>
      </c>
      <c r="R17">
        <f t="shared" si="10"/>
        <v>6.8604033587760141E-2</v>
      </c>
      <c r="S17">
        <f t="shared" si="11"/>
        <v>2.2982351251899646</v>
      </c>
      <c r="T17">
        <f t="shared" si="12"/>
        <v>0.37508799169315266</v>
      </c>
      <c r="U17">
        <f t="shared" si="13"/>
        <v>0.34715377353783794</v>
      </c>
    </row>
    <row r="18" spans="2:21" x14ac:dyDescent="0.25">
      <c r="B18">
        <v>199</v>
      </c>
      <c r="C18">
        <v>2.6524999999999999</v>
      </c>
      <c r="D18">
        <v>2.6846000000000001</v>
      </c>
      <c r="E18">
        <f t="shared" si="0"/>
        <v>40.994383430887957</v>
      </c>
      <c r="F18">
        <f t="shared" si="1"/>
        <v>2.6385991774891773</v>
      </c>
      <c r="G18">
        <f t="shared" si="5"/>
        <v>7.3188704579196087E-2</v>
      </c>
      <c r="H18">
        <f t="shared" si="2"/>
        <v>38.530308514247153</v>
      </c>
      <c r="I18">
        <f t="shared" si="6"/>
        <v>6.87895055660174E-2</v>
      </c>
      <c r="J18">
        <f t="shared" si="14"/>
        <v>2.3309323961044996</v>
      </c>
      <c r="K18">
        <f t="shared" si="3"/>
        <v>2.66100025974026</v>
      </c>
      <c r="L18">
        <f t="shared" si="7"/>
        <v>0.33006786363576035</v>
      </c>
      <c r="M18">
        <f t="shared" si="8"/>
        <v>7334.8414141280073</v>
      </c>
      <c r="O18">
        <v>2.6541000000000001</v>
      </c>
      <c r="P18">
        <f t="shared" si="4"/>
        <v>2.6398927272727275</v>
      </c>
      <c r="Q18">
        <f t="shared" si="9"/>
        <v>38.092528706722142</v>
      </c>
      <c r="R18">
        <f t="shared" si="10"/>
        <v>6.800792198499582E-2</v>
      </c>
      <c r="S18">
        <f t="shared" si="11"/>
        <v>2.2782653864973601</v>
      </c>
      <c r="T18">
        <f t="shared" si="12"/>
        <v>0.3616273407753674</v>
      </c>
      <c r="U18">
        <f t="shared" si="13"/>
        <v>0.3348914194236326</v>
      </c>
    </row>
    <row r="19" spans="2:21" x14ac:dyDescent="0.25">
      <c r="B19">
        <v>200</v>
      </c>
      <c r="C19">
        <v>2.5842999999999998</v>
      </c>
      <c r="D19">
        <v>2.6185999999999998</v>
      </c>
      <c r="E19">
        <f t="shared" si="0"/>
        <v>30.806945500788853</v>
      </c>
      <c r="F19">
        <f t="shared" si="1"/>
        <v>2.5705709956709955</v>
      </c>
      <c r="G19">
        <f t="shared" si="5"/>
        <v>7.1301758450876385E-2</v>
      </c>
      <c r="H19">
        <f t="shared" si="2"/>
        <v>28.95521325569262</v>
      </c>
      <c r="I19">
        <f t="shared" si="6"/>
        <v>6.7015979282923174E-2</v>
      </c>
      <c r="J19">
        <f t="shared" si="14"/>
        <v>2.2708364580018516</v>
      </c>
      <c r="K19">
        <f t="shared" si="3"/>
        <v>2.5952753246753244</v>
      </c>
      <c r="L19">
        <f t="shared" si="7"/>
        <v>0.32443886667347277</v>
      </c>
      <c r="M19">
        <f t="shared" si="8"/>
        <v>7209.7525927438392</v>
      </c>
      <c r="O19">
        <v>2.5931000000000002</v>
      </c>
      <c r="P19">
        <f t="shared" si="4"/>
        <v>2.5789623376623378</v>
      </c>
      <c r="Q19">
        <f t="shared" si="9"/>
        <v>28.626225293365877</v>
      </c>
      <c r="R19">
        <f t="shared" si="10"/>
        <v>6.6254546435824888E-2</v>
      </c>
      <c r="S19">
        <f t="shared" si="11"/>
        <v>2.2195273056001339</v>
      </c>
      <c r="T19">
        <f t="shared" si="12"/>
        <v>0.35943503206220395</v>
      </c>
      <c r="U19">
        <f t="shared" si="13"/>
        <v>0.33315506670211015</v>
      </c>
    </row>
    <row r="20" spans="2:21" x14ac:dyDescent="0.25">
      <c r="B20">
        <v>201</v>
      </c>
      <c r="C20">
        <v>2.5693000000000001</v>
      </c>
      <c r="D20">
        <v>2.6101999999999999</v>
      </c>
      <c r="E20">
        <f t="shared" si="0"/>
        <v>23.151168810444471</v>
      </c>
      <c r="F20">
        <f t="shared" si="1"/>
        <v>2.555742813852814</v>
      </c>
      <c r="G20">
        <f t="shared" si="5"/>
        <v>7.0890458611250803E-2</v>
      </c>
      <c r="H20">
        <f t="shared" si="2"/>
        <v>21.759607099243059</v>
      </c>
      <c r="I20">
        <f t="shared" si="6"/>
        <v>6.6629401698719434E-2</v>
      </c>
      <c r="J20">
        <f t="shared" si="14"/>
        <v>2.2577372765611079</v>
      </c>
      <c r="K20">
        <f t="shared" si="3"/>
        <v>2.5871503896103896</v>
      </c>
      <c r="L20">
        <f t="shared" si="7"/>
        <v>0.32941311304928167</v>
      </c>
      <c r="M20">
        <f t="shared" si="8"/>
        <v>7320.2914010951481</v>
      </c>
      <c r="O20">
        <v>2.5716000000000001</v>
      </c>
      <c r="P20">
        <f t="shared" si="4"/>
        <v>2.5575319480519481</v>
      </c>
      <c r="Q20">
        <f t="shared" si="9"/>
        <v>21.512375323141288</v>
      </c>
      <c r="R20">
        <f t="shared" si="10"/>
        <v>6.587236113050321E-2</v>
      </c>
      <c r="S20">
        <f t="shared" si="11"/>
        <v>2.2067240978718576</v>
      </c>
      <c r="T20">
        <f t="shared" si="12"/>
        <v>0.35080785018009042</v>
      </c>
      <c r="U20">
        <f t="shared" si="13"/>
        <v>0.3241249644677307</v>
      </c>
    </row>
    <row r="21" spans="2:21" x14ac:dyDescent="0.25">
      <c r="B21">
        <v>202</v>
      </c>
      <c r="C21">
        <v>2.6042000000000001</v>
      </c>
      <c r="D21">
        <v>2.6427999999999998</v>
      </c>
      <c r="E21">
        <f t="shared" si="0"/>
        <v>17.397914936940829</v>
      </c>
      <c r="F21">
        <f t="shared" si="1"/>
        <v>2.5908146320346321</v>
      </c>
      <c r="G21">
        <f t="shared" si="5"/>
        <v>7.1863270610080771E-2</v>
      </c>
      <c r="H21">
        <f t="shared" si="2"/>
        <v>16.352167636698105</v>
      </c>
      <c r="I21">
        <f t="shared" si="6"/>
        <v>6.7543740281332171E-2</v>
      </c>
      <c r="J21">
        <f t="shared" si="14"/>
        <v>2.2887196394329403</v>
      </c>
      <c r="K21">
        <f t="shared" si="3"/>
        <v>2.6200254545454542</v>
      </c>
      <c r="L21">
        <f t="shared" si="7"/>
        <v>0.33130581511251389</v>
      </c>
      <c r="M21">
        <f t="shared" si="8"/>
        <v>7362.3514469447528</v>
      </c>
      <c r="O21">
        <v>2.6017999999999999</v>
      </c>
      <c r="P21">
        <f t="shared" si="4"/>
        <v>2.5878015584415581</v>
      </c>
      <c r="Q21">
        <f t="shared" si="9"/>
        <v>16.166374969142289</v>
      </c>
      <c r="R21">
        <f t="shared" si="10"/>
        <v>6.6776311035107783E-2</v>
      </c>
      <c r="S21">
        <f t="shared" si="11"/>
        <v>2.2370064196761108</v>
      </c>
      <c r="T21">
        <f t="shared" si="12"/>
        <v>0.35079513876544732</v>
      </c>
      <c r="U21">
        <f t="shared" si="13"/>
        <v>0.32395894175235251</v>
      </c>
    </row>
    <row r="22" spans="2:21" x14ac:dyDescent="0.25">
      <c r="B22">
        <v>203</v>
      </c>
      <c r="C22">
        <v>2.6274000000000002</v>
      </c>
      <c r="D22">
        <v>2.6738</v>
      </c>
      <c r="E22">
        <f t="shared" si="0"/>
        <v>13.074391475927291</v>
      </c>
      <c r="F22">
        <f t="shared" si="1"/>
        <v>2.6141864502164505</v>
      </c>
      <c r="G22">
        <f t="shared" si="5"/>
        <v>7.2511551376246819E-2</v>
      </c>
      <c r="H22">
        <f t="shared" si="2"/>
        <v>12.288520890985138</v>
      </c>
      <c r="I22">
        <f t="shared" si="6"/>
        <v>6.8153054432046029E-2</v>
      </c>
      <c r="J22">
        <f t="shared" si="14"/>
        <v>2.3093662494298797</v>
      </c>
      <c r="K22">
        <f t="shared" si="3"/>
        <v>2.6513005194805195</v>
      </c>
      <c r="L22">
        <f t="shared" si="7"/>
        <v>0.34193427005063981</v>
      </c>
      <c r="M22">
        <f t="shared" si="8"/>
        <v>7598.5393344586619</v>
      </c>
      <c r="O22">
        <v>2.6259000000000001</v>
      </c>
      <c r="P22">
        <f t="shared" si="4"/>
        <v>2.6119711688311691</v>
      </c>
      <c r="Q22">
        <f t="shared" si="9"/>
        <v>12.148899213457346</v>
      </c>
      <c r="R22">
        <f t="shared" si="10"/>
        <v>6.7378702183076344E-2</v>
      </c>
      <c r="S22">
        <f t="shared" si="11"/>
        <v>2.2571865231330577</v>
      </c>
      <c r="T22">
        <f t="shared" si="12"/>
        <v>0.35478464569811141</v>
      </c>
      <c r="U22">
        <f t="shared" si="13"/>
        <v>0.32708753016909053</v>
      </c>
    </row>
    <row r="23" spans="2:21" x14ac:dyDescent="0.25">
      <c r="B23">
        <v>204</v>
      </c>
      <c r="C23">
        <v>2.6326999999999998</v>
      </c>
      <c r="D23">
        <v>2.6800999999999999</v>
      </c>
      <c r="E23">
        <f t="shared" si="0"/>
        <v>9.8252987835252323</v>
      </c>
      <c r="F23">
        <f t="shared" si="1"/>
        <v>2.6196582683982683</v>
      </c>
      <c r="G23">
        <f t="shared" si="5"/>
        <v>7.2663327094149244E-2</v>
      </c>
      <c r="H23">
        <f t="shared" si="2"/>
        <v>9.2347234350314107</v>
      </c>
      <c r="I23">
        <f t="shared" si="6"/>
        <v>6.8295707272418904E-2</v>
      </c>
      <c r="J23">
        <f t="shared" si="14"/>
        <v>2.3142000409259142</v>
      </c>
      <c r="K23">
        <f t="shared" si="3"/>
        <v>2.6578755844155841</v>
      </c>
      <c r="L23">
        <f t="shared" si="7"/>
        <v>0.34367554348966989</v>
      </c>
      <c r="M23">
        <f t="shared" si="8"/>
        <v>7637.2342997704418</v>
      </c>
      <c r="O23">
        <v>2.6349</v>
      </c>
      <c r="P23">
        <f t="shared" si="4"/>
        <v>2.6210407792207793</v>
      </c>
      <c r="Q23">
        <f t="shared" si="9"/>
        <v>9.1297988807304797</v>
      </c>
      <c r="R23">
        <f t="shared" si="10"/>
        <v>6.7519734207644497E-2</v>
      </c>
      <c r="S23">
        <f t="shared" si="11"/>
        <v>2.2619110959560906</v>
      </c>
      <c r="T23">
        <f t="shared" si="12"/>
        <v>0.35912968326468864</v>
      </c>
      <c r="U23">
        <f t="shared" si="13"/>
        <v>0.33129152234819814</v>
      </c>
    </row>
    <row r="24" spans="2:21" x14ac:dyDescent="0.25">
      <c r="B24">
        <v>205</v>
      </c>
      <c r="C24">
        <v>2.6288</v>
      </c>
      <c r="D24">
        <v>2.6726000000000001</v>
      </c>
      <c r="E24">
        <f t="shared" si="0"/>
        <v>7.3836320690937258</v>
      </c>
      <c r="F24">
        <f t="shared" si="1"/>
        <v>2.6159300865800867</v>
      </c>
      <c r="G24">
        <f t="shared" si="5"/>
        <v>7.2559915859871482E-2</v>
      </c>
      <c r="H24">
        <f t="shared" si="2"/>
        <v>6.939819501310355</v>
      </c>
      <c r="I24">
        <f t="shared" si="6"/>
        <v>6.8198511841555121E-2</v>
      </c>
      <c r="J24">
        <f t="shared" si="14"/>
        <v>2.3109065737510952</v>
      </c>
      <c r="K24">
        <f t="shared" si="3"/>
        <v>2.6506506493506494</v>
      </c>
      <c r="L24">
        <f t="shared" si="7"/>
        <v>0.33974407559955422</v>
      </c>
      <c r="M24">
        <f t="shared" si="8"/>
        <v>7549.86834665676</v>
      </c>
      <c r="O24">
        <v>2.6252</v>
      </c>
      <c r="P24">
        <f t="shared" si="4"/>
        <v>2.6114103896103895</v>
      </c>
      <c r="Q24">
        <f t="shared" si="9"/>
        <v>6.8609695527194017</v>
      </c>
      <c r="R24">
        <f t="shared" si="10"/>
        <v>6.7423643107336492E-2</v>
      </c>
      <c r="S24">
        <f t="shared" si="11"/>
        <v>2.2586920440957723</v>
      </c>
      <c r="T24">
        <f t="shared" si="12"/>
        <v>0.35271834551461723</v>
      </c>
      <c r="U24">
        <f t="shared" si="13"/>
        <v>0.32519863855225961</v>
      </c>
    </row>
    <row r="25" spans="2:21" x14ac:dyDescent="0.25">
      <c r="B25">
        <v>206</v>
      </c>
      <c r="C25">
        <v>2.5983000000000001</v>
      </c>
      <c r="D25">
        <v>2.6478000000000002</v>
      </c>
      <c r="E25">
        <f t="shared" si="0"/>
        <v>5.5487394055805712</v>
      </c>
      <c r="F25">
        <f t="shared" si="1"/>
        <v>2.585601904761905</v>
      </c>
      <c r="G25">
        <f t="shared" si="5"/>
        <v>7.1718681481246674E-2</v>
      </c>
      <c r="H25">
        <f t="shared" si="2"/>
        <v>5.215217873019462</v>
      </c>
      <c r="I25">
        <f t="shared" si="6"/>
        <v>6.7407842061246073E-2</v>
      </c>
      <c r="J25">
        <f t="shared" si="14"/>
        <v>2.2841147282453229</v>
      </c>
      <c r="K25">
        <f t="shared" si="3"/>
        <v>2.6261257142857146</v>
      </c>
      <c r="L25">
        <f t="shared" si="7"/>
        <v>0.34201098604039171</v>
      </c>
      <c r="M25">
        <f t="shared" si="8"/>
        <v>7600.2441342309266</v>
      </c>
      <c r="O25">
        <v>2.5886999999999998</v>
      </c>
      <c r="P25">
        <f t="shared" si="4"/>
        <v>2.5749799999999996</v>
      </c>
      <c r="Q25">
        <f t="shared" si="9"/>
        <v>5.1559627784020066</v>
      </c>
      <c r="R25">
        <f t="shared" si="10"/>
        <v>6.664195688510384E-2</v>
      </c>
      <c r="S25">
        <f t="shared" si="11"/>
        <v>2.2325055556509787</v>
      </c>
      <c r="T25">
        <f t="shared" si="12"/>
        <v>0.34247444434902086</v>
      </c>
      <c r="U25">
        <f t="shared" si="13"/>
        <v>0.31477111472618963</v>
      </c>
    </row>
    <row r="26" spans="2:21" x14ac:dyDescent="0.25">
      <c r="B26">
        <v>207</v>
      </c>
      <c r="C26">
        <v>2.4944999999999999</v>
      </c>
      <c r="D26">
        <v>2.5709</v>
      </c>
      <c r="E26">
        <f t="shared" si="0"/>
        <v>4.1698325028838594</v>
      </c>
      <c r="F26">
        <f t="shared" si="1"/>
        <v>2.4819737229437231</v>
      </c>
      <c r="G26">
        <f t="shared" si="5"/>
        <v>6.8844272798838438E-2</v>
      </c>
      <c r="H26">
        <f t="shared" si="2"/>
        <v>3.9191937856490506</v>
      </c>
      <c r="I26">
        <f t="shared" si="6"/>
        <v>6.4706207250322875E-2</v>
      </c>
      <c r="J26">
        <f t="shared" si="14"/>
        <v>2.1925698326771905</v>
      </c>
      <c r="K26">
        <f t="shared" si="3"/>
        <v>2.5495007792207791</v>
      </c>
      <c r="L26">
        <f t="shared" si="7"/>
        <v>0.35693094654358859</v>
      </c>
      <c r="M26">
        <f t="shared" si="8"/>
        <v>7931.7988120797463</v>
      </c>
      <c r="O26">
        <v>2.4598</v>
      </c>
      <c r="P26">
        <f t="shared" si="4"/>
        <v>2.4461496103896105</v>
      </c>
      <c r="Q26">
        <f t="shared" si="9"/>
        <v>3.8746640643129173</v>
      </c>
      <c r="R26">
        <f t="shared" si="10"/>
        <v>6.39710179396729E-2</v>
      </c>
      <c r="S26">
        <f t="shared" si="11"/>
        <v>2.1430291009790423</v>
      </c>
      <c r="T26">
        <f t="shared" si="12"/>
        <v>0.30312050941056823</v>
      </c>
      <c r="U26">
        <f t="shared" si="13"/>
        <v>0.27420864380307458</v>
      </c>
    </row>
    <row r="27" spans="2:21" x14ac:dyDescent="0.25">
      <c r="B27">
        <v>208</v>
      </c>
      <c r="C27">
        <v>2.2469999999999999</v>
      </c>
      <c r="D27">
        <v>2.3725000000000001</v>
      </c>
      <c r="E27">
        <f t="shared" si="0"/>
        <v>3.1335951882367059</v>
      </c>
      <c r="F27">
        <f t="shared" si="1"/>
        <v>2.2346455411255408</v>
      </c>
      <c r="G27">
        <f t="shared" si="5"/>
        <v>6.1983954874224478E-2</v>
      </c>
      <c r="H27">
        <f t="shared" si="2"/>
        <v>2.9452422321480305</v>
      </c>
      <c r="I27">
        <f t="shared" si="6"/>
        <v>5.8258246724539463E-2</v>
      </c>
      <c r="J27">
        <f t="shared" si="14"/>
        <v>1.9740806902610195</v>
      </c>
      <c r="K27">
        <f t="shared" si="3"/>
        <v>2.3513758441558443</v>
      </c>
      <c r="L27">
        <f t="shared" si="7"/>
        <v>0.37729515389482482</v>
      </c>
      <c r="M27">
        <f t="shared" si="8"/>
        <v>8384.3367532183292</v>
      </c>
      <c r="O27">
        <v>2.1838000000000002</v>
      </c>
      <c r="P27">
        <f t="shared" si="4"/>
        <v>2.170219220779221</v>
      </c>
      <c r="Q27">
        <f t="shared" si="9"/>
        <v>2.9117785089850678</v>
      </c>
      <c r="R27">
        <f t="shared" si="10"/>
        <v>5.7596318880686795E-2</v>
      </c>
      <c r="S27">
        <f t="shared" si="11"/>
        <v>1.9294766825030076</v>
      </c>
      <c r="T27">
        <f t="shared" si="12"/>
        <v>0.24074253827621339</v>
      </c>
      <c r="U27">
        <f t="shared" si="13"/>
        <v>0.21018114568921986</v>
      </c>
    </row>
    <row r="28" spans="2:21" x14ac:dyDescent="0.25">
      <c r="B28">
        <v>209</v>
      </c>
      <c r="C28">
        <v>1.9491000000000001</v>
      </c>
      <c r="D28">
        <v>2.1259000000000001</v>
      </c>
      <c r="E28">
        <f t="shared" si="0"/>
        <v>2.3548712800691916</v>
      </c>
      <c r="F28">
        <f t="shared" si="1"/>
        <v>1.9369173593073594</v>
      </c>
      <c r="G28">
        <f t="shared" si="5"/>
        <v>5.3725656255058235E-2</v>
      </c>
      <c r="H28">
        <f t="shared" si="2"/>
        <v>2.2133255665467813</v>
      </c>
      <c r="I28">
        <f t="shared" si="6"/>
        <v>5.0496334799807176E-2</v>
      </c>
      <c r="J28">
        <f>I28*$D$5</f>
        <v>1.7110683046914661</v>
      </c>
      <c r="K28">
        <f t="shared" si="3"/>
        <v>2.1050509090909091</v>
      </c>
      <c r="L28">
        <f t="shared" si="7"/>
        <v>0.39398260439944299</v>
      </c>
      <c r="M28">
        <f t="shared" si="8"/>
        <v>8755.1689866542874</v>
      </c>
      <c r="O28">
        <v>1.8742000000000001</v>
      </c>
      <c r="P28">
        <f t="shared" si="4"/>
        <v>1.8606888311688312</v>
      </c>
      <c r="Q28">
        <f t="shared" si="9"/>
        <v>2.188177850946353</v>
      </c>
      <c r="R28">
        <f t="shared" si="10"/>
        <v>4.9922597485422465E-2</v>
      </c>
      <c r="S28">
        <f t="shared" si="11"/>
        <v>1.6724070157616526</v>
      </c>
      <c r="T28">
        <f t="shared" si="12"/>
        <v>0.18828181540717859</v>
      </c>
      <c r="U28">
        <f t="shared" si="13"/>
        <v>0.15636871787279041</v>
      </c>
    </row>
    <row r="29" spans="2:21" x14ac:dyDescent="0.25">
      <c r="B29">
        <v>210</v>
      </c>
      <c r="C29">
        <v>1.6246</v>
      </c>
      <c r="D29">
        <v>1.8226</v>
      </c>
      <c r="E29">
        <f t="shared" si="0"/>
        <v>1.7696666010057143</v>
      </c>
      <c r="F29">
        <f t="shared" si="1"/>
        <v>1.6125891774891776</v>
      </c>
      <c r="G29">
        <f t="shared" si="5"/>
        <v>4.4729534491544924E-2</v>
      </c>
      <c r="H29">
        <f t="shared" si="2"/>
        <v>1.6632961493142857</v>
      </c>
      <c r="I29">
        <f t="shared" si="6"/>
        <v>4.2040948525629639E-2</v>
      </c>
      <c r="J29">
        <f t="shared" si="14"/>
        <v>1.4245575407909603</v>
      </c>
      <c r="K29">
        <f t="shared" si="3"/>
        <v>1.8020259740259741</v>
      </c>
      <c r="L29">
        <f t="shared" si="7"/>
        <v>0.37746843323501378</v>
      </c>
      <c r="M29">
        <f t="shared" si="8"/>
        <v>8388.1874052225285</v>
      </c>
      <c r="O29">
        <v>1.5484</v>
      </c>
      <c r="P29">
        <f t="shared" si="4"/>
        <v>1.5349584415584416</v>
      </c>
      <c r="Q29">
        <f t="shared" si="9"/>
        <v>1.6443978457142858</v>
      </c>
      <c r="R29">
        <f t="shared" si="10"/>
        <v>4.1563280968233529E-2</v>
      </c>
      <c r="S29">
        <f t="shared" si="11"/>
        <v>1.3923699124358233</v>
      </c>
      <c r="T29">
        <f t="shared" si="12"/>
        <v>0.14258852912261832</v>
      </c>
      <c r="U29">
        <f t="shared" si="13"/>
        <v>0.11201310068626902</v>
      </c>
    </row>
    <row r="30" spans="2:21" x14ac:dyDescent="0.25">
      <c r="B30">
        <v>211</v>
      </c>
      <c r="C30">
        <v>1.2865</v>
      </c>
      <c r="D30">
        <v>1.5108999999999999</v>
      </c>
      <c r="E30">
        <f t="shared" si="0"/>
        <v>1.3298900475881215</v>
      </c>
      <c r="F30">
        <f t="shared" si="1"/>
        <v>1.2746609956709956</v>
      </c>
      <c r="G30">
        <f t="shared" si="5"/>
        <v>3.5356179842200033E-2</v>
      </c>
      <c r="H30">
        <f t="shared" si="2"/>
        <v>1.2499535188761648</v>
      </c>
      <c r="I30">
        <f t="shared" si="6"/>
        <v>3.3231003937450015E-2</v>
      </c>
      <c r="J30">
        <f t="shared" si="14"/>
        <v>1.1260325684204937</v>
      </c>
      <c r="K30">
        <f t="shared" si="3"/>
        <v>1.4906010389610389</v>
      </c>
      <c r="L30">
        <f t="shared" si="7"/>
        <v>0.3645684705405452</v>
      </c>
      <c r="M30">
        <f t="shared" si="8"/>
        <v>8101.5215675676709</v>
      </c>
      <c r="O30">
        <v>1.2289000000000001</v>
      </c>
      <c r="P30">
        <f t="shared" si="4"/>
        <v>1.215528051948052</v>
      </c>
      <c r="Q30">
        <f t="shared" si="9"/>
        <v>1.2357515975314011</v>
      </c>
      <c r="R30">
        <f t="shared" si="10"/>
        <v>3.2853434614271086E-2</v>
      </c>
      <c r="S30">
        <f t="shared" si="11"/>
        <v>1.1005900595780813</v>
      </c>
      <c r="T30">
        <f t="shared" si="12"/>
        <v>0.11493799236997071</v>
      </c>
      <c r="U30">
        <f t="shared" si="13"/>
        <v>8.5407477498488246E-2</v>
      </c>
    </row>
    <row r="31" spans="2:21" x14ac:dyDescent="0.25">
      <c r="B31">
        <v>212</v>
      </c>
      <c r="C31">
        <v>1.0223</v>
      </c>
      <c r="D31">
        <v>1.2526999999999999</v>
      </c>
      <c r="E31">
        <f t="shared" si="0"/>
        <v>0.99940154697434191</v>
      </c>
      <c r="F31">
        <f t="shared" si="1"/>
        <v>1.0106328138528138</v>
      </c>
      <c r="G31">
        <f t="shared" si="5"/>
        <v>2.8032642123954669E-2</v>
      </c>
      <c r="H31">
        <f t="shared" si="2"/>
        <v>0.9393298962394756</v>
      </c>
      <c r="I31">
        <f t="shared" si="6"/>
        <v>2.6347666658443469E-2</v>
      </c>
      <c r="J31">
        <f t="shared" si="14"/>
        <v>0.89279068472135692</v>
      </c>
      <c r="K31">
        <f t="shared" si="3"/>
        <v>1.2326761038961038</v>
      </c>
      <c r="L31">
        <f t="shared" si="7"/>
        <v>0.33988541917474691</v>
      </c>
      <c r="M31">
        <f t="shared" si="8"/>
        <v>7553.009314994375</v>
      </c>
      <c r="O31">
        <v>0.97570000000000001</v>
      </c>
      <c r="P31">
        <f t="shared" si="4"/>
        <v>0.96239766233766233</v>
      </c>
      <c r="Q31">
        <f t="shared" si="9"/>
        <v>0.92865726793632686</v>
      </c>
      <c r="R31">
        <f t="shared" si="10"/>
        <v>2.6048305535129299E-2</v>
      </c>
      <c r="S31">
        <f t="shared" si="11"/>
        <v>0.87261823542683148</v>
      </c>
      <c r="T31">
        <f t="shared" si="12"/>
        <v>8.9779426910830851E-2</v>
      </c>
      <c r="U31">
        <f t="shared" si="13"/>
        <v>6.2248270937144808E-2</v>
      </c>
    </row>
    <row r="32" spans="2:21" x14ac:dyDescent="0.25">
      <c r="B32">
        <v>213</v>
      </c>
      <c r="C32">
        <v>0.76980000000000004</v>
      </c>
      <c r="D32">
        <v>1.0001</v>
      </c>
      <c r="E32">
        <f t="shared" si="0"/>
        <v>0.7510421285625305</v>
      </c>
      <c r="F32">
        <f t="shared" si="1"/>
        <v>0.75830463203463205</v>
      </c>
      <c r="G32">
        <f t="shared" si="5"/>
        <v>2.1033635638373242E-2</v>
      </c>
      <c r="H32">
        <f t="shared" si="2"/>
        <v>0.70589877194999839</v>
      </c>
      <c r="I32">
        <f t="shared" si="6"/>
        <v>1.9769353811335769E-2</v>
      </c>
      <c r="J32">
        <f t="shared" si="14"/>
        <v>0.66988455389711254</v>
      </c>
      <c r="K32">
        <f t="shared" si="3"/>
        <v>0.9803511688311688</v>
      </c>
      <c r="L32">
        <f t="shared" si="7"/>
        <v>0.31046661493405625</v>
      </c>
      <c r="M32">
        <f t="shared" si="8"/>
        <v>6899.2581096456943</v>
      </c>
      <c r="O32">
        <v>0.73770000000000002</v>
      </c>
      <c r="P32">
        <f t="shared" si="4"/>
        <v>0.72446727272727274</v>
      </c>
      <c r="Q32">
        <f t="shared" si="9"/>
        <v>0.69787837864320346</v>
      </c>
      <c r="R32">
        <f t="shared" si="10"/>
        <v>1.9544735212623534E-2</v>
      </c>
      <c r="S32">
        <f t="shared" si="11"/>
        <v>0.65474862962288838</v>
      </c>
      <c r="T32">
        <f t="shared" si="12"/>
        <v>6.9718643104384359E-2</v>
      </c>
      <c r="U32">
        <f t="shared" si="13"/>
        <v>4.4570448100534371E-2</v>
      </c>
    </row>
    <row r="33" spans="2:21" x14ac:dyDescent="0.25">
      <c r="B33">
        <v>214</v>
      </c>
      <c r="C33">
        <v>0.58360000000000001</v>
      </c>
      <c r="D33">
        <v>0.80630000000000002</v>
      </c>
      <c r="E33">
        <f t="shared" si="0"/>
        <v>0.56440204698844432</v>
      </c>
      <c r="F33">
        <f t="shared" si="1"/>
        <v>0.57227645021645024</v>
      </c>
      <c r="G33">
        <f t="shared" si="5"/>
        <v>1.5873639471220745E-2</v>
      </c>
      <c r="H33">
        <f t="shared" si="2"/>
        <v>0.53047718190955939</v>
      </c>
      <c r="I33">
        <f t="shared" si="6"/>
        <v>1.4919512744988209E-2</v>
      </c>
      <c r="J33">
        <f t="shared" si="14"/>
        <v>0.50554768936392547</v>
      </c>
      <c r="K33">
        <f t="shared" si="3"/>
        <v>0.78682623376623373</v>
      </c>
      <c r="L33">
        <f t="shared" si="7"/>
        <v>0.28127854440230826</v>
      </c>
      <c r="M33">
        <f t="shared" si="8"/>
        <v>6250.6343200512947</v>
      </c>
      <c r="O33">
        <v>0.56159999999999999</v>
      </c>
      <c r="P33">
        <f t="shared" si="4"/>
        <v>0.5484368831168831</v>
      </c>
      <c r="Q33">
        <f t="shared" si="9"/>
        <v>0.52444992161635651</v>
      </c>
      <c r="R33">
        <f t="shared" si="10"/>
        <v>1.4749997844388522E-2</v>
      </c>
      <c r="S33">
        <f t="shared" si="11"/>
        <v>0.4941249277870155</v>
      </c>
      <c r="T33">
        <f t="shared" si="12"/>
        <v>5.4311955329867601E-2</v>
      </c>
      <c r="U33">
        <f t="shared" si="13"/>
        <v>3.1528031568754729E-2</v>
      </c>
    </row>
    <row r="34" spans="2:21" x14ac:dyDescent="0.25">
      <c r="B34">
        <v>215</v>
      </c>
      <c r="C34">
        <v>0.4375</v>
      </c>
      <c r="D34">
        <v>0.64880000000000004</v>
      </c>
      <c r="E34">
        <f t="shared" si="0"/>
        <v>0.42414354472290339</v>
      </c>
      <c r="F34">
        <f t="shared" si="1"/>
        <v>0.42634826839826839</v>
      </c>
      <c r="G34">
        <f t="shared" si="5"/>
        <v>1.1825925563027527E-2</v>
      </c>
      <c r="H34">
        <f t="shared" si="2"/>
        <v>0.39864928472582883</v>
      </c>
      <c r="I34">
        <f t="shared" si="6"/>
        <v>1.1115097295661482E-2</v>
      </c>
      <c r="J34">
        <f t="shared" si="14"/>
        <v>0.37663507186348932</v>
      </c>
      <c r="K34">
        <f t="shared" si="3"/>
        <v>0.62960129870129877</v>
      </c>
      <c r="L34">
        <f t="shared" si="7"/>
        <v>0.25296622683780945</v>
      </c>
      <c r="M34">
        <f t="shared" si="8"/>
        <v>5621.4717075068766</v>
      </c>
      <c r="O34">
        <v>0.42370000000000002</v>
      </c>
      <c r="P34">
        <f t="shared" si="4"/>
        <v>0.41060649350649353</v>
      </c>
      <c r="Q34">
        <f t="shared" si="9"/>
        <v>0.39411984767051106</v>
      </c>
      <c r="R34">
        <f t="shared" si="10"/>
        <v>1.098880800958122E-2</v>
      </c>
      <c r="S34">
        <f t="shared" si="11"/>
        <v>0.36812506832097086</v>
      </c>
      <c r="T34">
        <f t="shared" si="12"/>
        <v>4.248142518552267E-2</v>
      </c>
      <c r="U34">
        <f t="shared" si="13"/>
        <v>2.1990835550767231E-2</v>
      </c>
    </row>
    <row r="35" spans="2:21" x14ac:dyDescent="0.25">
      <c r="B35">
        <v>216</v>
      </c>
      <c r="C35">
        <v>0.33119999999999999</v>
      </c>
      <c r="D35">
        <v>0.53029999999999999</v>
      </c>
      <c r="E35">
        <f t="shared" si="0"/>
        <v>0.31874042181458062</v>
      </c>
      <c r="F35">
        <f t="shared" si="1"/>
        <v>0.32022008658008655</v>
      </c>
      <c r="G35">
        <f t="shared" si="5"/>
        <v>8.8821726001355426E-3</v>
      </c>
      <c r="H35">
        <f t="shared" si="2"/>
        <v>0.29958169292097703</v>
      </c>
      <c r="I35">
        <f t="shared" si="6"/>
        <v>8.3482863240761356E-3</v>
      </c>
      <c r="J35">
        <f t="shared" si="14"/>
        <v>0.28288168209131986</v>
      </c>
      <c r="K35">
        <f t="shared" si="3"/>
        <v>0.51137636363636363</v>
      </c>
      <c r="L35">
        <f t="shared" si="7"/>
        <v>0.22849468154504377</v>
      </c>
      <c r="M35">
        <f t="shared" si="8"/>
        <v>5077.6595898898613</v>
      </c>
      <c r="O35">
        <v>0.3221</v>
      </c>
      <c r="P35">
        <f t="shared" si="4"/>
        <v>0.3090761038961039</v>
      </c>
      <c r="Q35">
        <f t="shared" si="9"/>
        <v>0.29617785783835715</v>
      </c>
      <c r="R35">
        <f t="shared" si="10"/>
        <v>8.253433432390456E-3</v>
      </c>
      <c r="S35">
        <f t="shared" si="11"/>
        <v>0.27649001998508027</v>
      </c>
      <c r="T35">
        <f t="shared" si="12"/>
        <v>3.2586083911023633E-2</v>
      </c>
      <c r="U35">
        <f t="shared" si="13"/>
        <v>1.4077720910197045E-2</v>
      </c>
    </row>
    <row r="36" spans="2:21" x14ac:dyDescent="0.25">
      <c r="B36">
        <v>217</v>
      </c>
      <c r="C36">
        <v>0.2482</v>
      </c>
      <c r="D36">
        <v>0.43340000000000001</v>
      </c>
      <c r="E36">
        <f t="shared" si="0"/>
        <v>0.23953083281017515</v>
      </c>
      <c r="F36">
        <f t="shared" si="1"/>
        <v>0.23739190476190475</v>
      </c>
      <c r="G36">
        <f t="shared" si="5"/>
        <v>6.5847083313520681E-3</v>
      </c>
      <c r="H36">
        <f t="shared" si="2"/>
        <v>0.22513320397683301</v>
      </c>
      <c r="I36">
        <f t="shared" si="6"/>
        <v>6.188917169861999E-3</v>
      </c>
      <c r="J36">
        <f t="shared" si="14"/>
        <v>0.20971145830077381</v>
      </c>
      <c r="K36">
        <f t="shared" si="3"/>
        <v>0.41475142857142855</v>
      </c>
      <c r="L36">
        <f t="shared" si="7"/>
        <v>0.20503997027065474</v>
      </c>
      <c r="M36">
        <f t="shared" si="8"/>
        <v>4556.4437837923269</v>
      </c>
      <c r="O36">
        <v>0.24360000000000001</v>
      </c>
      <c r="P36">
        <f t="shared" si="4"/>
        <v>0.23064571428571429</v>
      </c>
      <c r="Q36">
        <f t="shared" si="9"/>
        <v>0.22257524961557934</v>
      </c>
      <c r="R36">
        <f t="shared" si="10"/>
        <v>6.1185989432013272E-3</v>
      </c>
      <c r="S36">
        <f t="shared" si="11"/>
        <v>0.20497306459724446</v>
      </c>
      <c r="T36">
        <f t="shared" si="12"/>
        <v>2.5672649688469829E-2</v>
      </c>
      <c r="U36">
        <f t="shared" si="13"/>
        <v>9.0641484586507885E-3</v>
      </c>
    </row>
    <row r="37" spans="2:21" x14ac:dyDescent="0.25">
      <c r="B37">
        <v>218</v>
      </c>
      <c r="C37">
        <v>0.18410000000000001</v>
      </c>
      <c r="D37">
        <v>0.35389999999999999</v>
      </c>
      <c r="E37">
        <f t="shared" si="0"/>
        <v>0.18000547134907338</v>
      </c>
      <c r="F37">
        <f t="shared" si="1"/>
        <v>0.17346372294372295</v>
      </c>
      <c r="G37">
        <f t="shared" si="5"/>
        <v>4.8114868230257112E-3</v>
      </c>
      <c r="H37">
        <f t="shared" si="2"/>
        <v>0.16918577046109373</v>
      </c>
      <c r="I37">
        <f t="shared" si="6"/>
        <v>4.5222797902536947E-3</v>
      </c>
      <c r="J37">
        <f t="shared" si="14"/>
        <v>0.15323745069274644</v>
      </c>
      <c r="K37">
        <f t="shared" si="3"/>
        <v>0.3355264935064935</v>
      </c>
      <c r="L37">
        <f t="shared" si="7"/>
        <v>0.18228904281374705</v>
      </c>
      <c r="M37">
        <f t="shared" si="8"/>
        <v>4050.8676180832676</v>
      </c>
      <c r="O37">
        <v>0.18310000000000001</v>
      </c>
      <c r="P37">
        <f t="shared" si="4"/>
        <v>0.17021532467532469</v>
      </c>
      <c r="Q37">
        <f t="shared" si="9"/>
        <v>0.16726348857744253</v>
      </c>
      <c r="R37">
        <f t="shared" si="10"/>
        <v>4.4708978301165351E-3</v>
      </c>
      <c r="S37">
        <f t="shared" si="11"/>
        <v>0.14977507730890394</v>
      </c>
      <c r="T37">
        <f t="shared" si="12"/>
        <v>2.044024736642075E-2</v>
      </c>
      <c r="U37">
        <f t="shared" si="13"/>
        <v>5.6746005134766051E-3</v>
      </c>
    </row>
    <row r="38" spans="2:21" x14ac:dyDescent="0.25">
      <c r="B38">
        <v>219</v>
      </c>
      <c r="C38">
        <v>0.1353</v>
      </c>
      <c r="D38">
        <v>0.29039999999999999</v>
      </c>
      <c r="E38">
        <f t="shared" si="0"/>
        <v>0.13527264667960381</v>
      </c>
      <c r="F38">
        <f t="shared" si="1"/>
        <v>0.12483554112554113</v>
      </c>
      <c r="G38">
        <f t="shared" si="5"/>
        <v>3.4626523112598782E-3</v>
      </c>
      <c r="H38">
        <f t="shared" si="2"/>
        <v>0.12714172952231151</v>
      </c>
      <c r="I38">
        <f t="shared" si="6"/>
        <v>3.2545205138977298E-3</v>
      </c>
      <c r="J38">
        <f t="shared" si="14"/>
        <v>0.11027942761342457</v>
      </c>
      <c r="K38">
        <f t="shared" si="3"/>
        <v>0.27230155844155846</v>
      </c>
      <c r="L38">
        <f t="shared" si="7"/>
        <v>0.16202213082813388</v>
      </c>
      <c r="M38">
        <f t="shared" si="8"/>
        <v>3600.4917961807528</v>
      </c>
      <c r="O38">
        <v>0.13689999999999999</v>
      </c>
      <c r="P38">
        <f t="shared" si="4"/>
        <v>0.12408493506493506</v>
      </c>
      <c r="Q38">
        <f t="shared" si="9"/>
        <v>0.12569715033192963</v>
      </c>
      <c r="R38">
        <f t="shared" si="10"/>
        <v>3.2175427834019166E-3</v>
      </c>
      <c r="S38">
        <f t="shared" si="11"/>
        <v>0.10778768324396421</v>
      </c>
      <c r="T38">
        <f t="shared" si="12"/>
        <v>1.6297251820970859E-2</v>
      </c>
      <c r="U38">
        <f t="shared" si="13"/>
        <v>3.1732508978099244E-3</v>
      </c>
    </row>
    <row r="39" spans="2:21" x14ac:dyDescent="0.25">
      <c r="B39">
        <v>220</v>
      </c>
      <c r="C39">
        <v>0.10150000000000001</v>
      </c>
      <c r="D39">
        <v>0.24049999999999999</v>
      </c>
      <c r="E39">
        <f t="shared" si="0"/>
        <v>0.10165629301466859</v>
      </c>
      <c r="F39">
        <f t="shared" si="1"/>
        <v>9.120735930735932E-2</v>
      </c>
      <c r="G39">
        <f t="shared" si="5"/>
        <v>2.5298834823965196E-3</v>
      </c>
      <c r="H39">
        <f t="shared" si="2"/>
        <v>9.5545974947355061E-2</v>
      </c>
      <c r="I39">
        <f t="shared" si="6"/>
        <v>2.3778182015146468E-3</v>
      </c>
      <c r="J39">
        <f t="shared" si="14"/>
        <v>8.0572369758323797E-2</v>
      </c>
      <c r="K39">
        <f t="shared" si="3"/>
        <v>0.22267662337662336</v>
      </c>
      <c r="L39">
        <f t="shared" si="7"/>
        <v>0.14210425361829956</v>
      </c>
      <c r="M39">
        <f t="shared" si="8"/>
        <v>3157.872302628879</v>
      </c>
      <c r="O39">
        <v>0.10440000000000001</v>
      </c>
      <c r="P39">
        <f t="shared" si="4"/>
        <v>9.1654545454545461E-2</v>
      </c>
      <c r="Q39">
        <f t="shared" si="9"/>
        <v>9.4460385443010039E-2</v>
      </c>
      <c r="R39">
        <f t="shared" si="10"/>
        <v>2.3508015272462944E-3</v>
      </c>
      <c r="S39">
        <f t="shared" si="11"/>
        <v>7.8751851162750866E-2</v>
      </c>
      <c r="T39">
        <f t="shared" si="12"/>
        <v>1.2902694291794595E-2</v>
      </c>
      <c r="U39">
        <f t="shared" si="13"/>
        <v>1.3920670327941202E-3</v>
      </c>
    </row>
    <row r="40" spans="2:21" x14ac:dyDescent="0.25">
      <c r="B40">
        <v>221</v>
      </c>
      <c r="C40">
        <v>7.6100000000000001E-2</v>
      </c>
      <c r="D40">
        <v>0.2009</v>
      </c>
      <c r="E40">
        <f t="shared" si="0"/>
        <v>7.6393876834246213E-2</v>
      </c>
      <c r="F40">
        <f t="shared" si="1"/>
        <v>6.597917748917749E-2</v>
      </c>
      <c r="G40">
        <f t="shared" si="5"/>
        <v>1.8301114359585457E-3</v>
      </c>
      <c r="H40">
        <f t="shared" si="2"/>
        <v>7.1802022537679824E-2</v>
      </c>
      <c r="I40">
        <f t="shared" si="6"/>
        <v>1.7201077889563777E-3</v>
      </c>
      <c r="J40">
        <f t="shared" si="14"/>
        <v>5.8285852428786852E-2</v>
      </c>
      <c r="K40">
        <f t="shared" si="3"/>
        <v>0.1833516883116883</v>
      </c>
      <c r="L40">
        <f t="shared" si="7"/>
        <v>0.12506583588290143</v>
      </c>
      <c r="M40">
        <f t="shared" si="8"/>
        <v>2779.2407973978093</v>
      </c>
      <c r="O40">
        <v>8.0199999999999994E-2</v>
      </c>
      <c r="P40">
        <f t="shared" si="4"/>
        <v>6.7524155844155831E-2</v>
      </c>
      <c r="Q40">
        <f t="shared" si="9"/>
        <v>7.0986210860624885E-2</v>
      </c>
      <c r="R40">
        <f t="shared" si="10"/>
        <v>1.7005639938037082E-3</v>
      </c>
      <c r="S40">
        <f t="shared" si="11"/>
        <v>5.6968893792424223E-2</v>
      </c>
      <c r="T40">
        <f t="shared" si="12"/>
        <v>1.0555262051731608E-2</v>
      </c>
      <c r="U40">
        <f t="shared" si="13"/>
        <v>4.2476853708834673E-4</v>
      </c>
    </row>
    <row r="41" spans="2:21" x14ac:dyDescent="0.25">
      <c r="B41">
        <v>222</v>
      </c>
      <c r="C41">
        <v>5.8200000000000002E-2</v>
      </c>
      <c r="D41">
        <v>0.1694</v>
      </c>
      <c r="E41">
        <f t="shared" si="0"/>
        <v>5.7409376681912483E-2</v>
      </c>
      <c r="F41">
        <f t="shared" si="1"/>
        <v>4.8250995670995667E-2</v>
      </c>
      <c r="G41">
        <f t="shared" si="5"/>
        <v>1.3383722309718092E-3</v>
      </c>
      <c r="H41">
        <f t="shared" si="2"/>
        <v>5.3958635550499401E-2</v>
      </c>
      <c r="I41">
        <f t="shared" si="6"/>
        <v>1.2579258583845488E-3</v>
      </c>
      <c r="J41">
        <f t="shared" si="14"/>
        <v>4.2624817711360431E-2</v>
      </c>
      <c r="K41">
        <f t="shared" si="3"/>
        <v>0.15212675324675323</v>
      </c>
      <c r="L41">
        <f t="shared" si="7"/>
        <v>0.10950193553539281</v>
      </c>
      <c r="M41">
        <f t="shared" si="8"/>
        <v>2433.3763452309513</v>
      </c>
      <c r="O41">
        <v>6.3200000000000006E-2</v>
      </c>
      <c r="P41">
        <f t="shared" si="4"/>
        <v>5.0593766233766241E-2</v>
      </c>
      <c r="Q41">
        <f t="shared" si="9"/>
        <v>5.3345559714969154E-2</v>
      </c>
      <c r="R41">
        <f t="shared" si="10"/>
        <v>1.2436333556406192E-3</v>
      </c>
      <c r="S41">
        <f t="shared" si="11"/>
        <v>4.1661717413960742E-2</v>
      </c>
      <c r="T41">
        <f t="shared" si="12"/>
        <v>8.9320488198054993E-3</v>
      </c>
      <c r="U41">
        <f t="shared" si="13"/>
        <v>6.2251245183905443E-5</v>
      </c>
    </row>
    <row r="42" spans="2:21" x14ac:dyDescent="0.25">
      <c r="B42">
        <v>223</v>
      </c>
      <c r="C42">
        <v>4.58E-2</v>
      </c>
      <c r="D42">
        <v>0.1449</v>
      </c>
      <c r="E42">
        <f t="shared" si="0"/>
        <v>4.3142679329611446E-2</v>
      </c>
      <c r="F42">
        <f t="shared" si="1"/>
        <v>3.6022813852813848E-2</v>
      </c>
      <c r="G42">
        <f t="shared" si="5"/>
        <v>9.9919044304931344E-4</v>
      </c>
      <c r="H42">
        <f t="shared" si="2"/>
        <v>4.0549475454451457E-2</v>
      </c>
      <c r="I42">
        <f t="shared" si="6"/>
        <v>9.3913148126944384E-4</v>
      </c>
      <c r="J42">
        <f t="shared" si="14"/>
        <v>3.18224702428151E-2</v>
      </c>
      <c r="K42">
        <f t="shared" si="3"/>
        <v>0.12790181818181817</v>
      </c>
      <c r="L42">
        <f t="shared" si="7"/>
        <v>9.6079347939003079E-2</v>
      </c>
      <c r="M42">
        <f t="shared" si="8"/>
        <v>2135.0966208667351</v>
      </c>
      <c r="O42">
        <v>5.1200000000000002E-2</v>
      </c>
      <c r="P42">
        <f t="shared" si="4"/>
        <v>3.8663376623376627E-2</v>
      </c>
      <c r="Q42">
        <f t="shared" si="9"/>
        <v>4.0088753953788518E-2</v>
      </c>
      <c r="R42">
        <f t="shared" si="10"/>
        <v>9.2846110734916255E-4</v>
      </c>
      <c r="S42">
        <f t="shared" si="11"/>
        <v>3.1103447096196946E-2</v>
      </c>
      <c r="T42">
        <f t="shared" si="12"/>
        <v>7.5599295271796818E-3</v>
      </c>
      <c r="U42">
        <f t="shared" si="13"/>
        <v>-2.2262119353472394E-4</v>
      </c>
    </row>
    <row r="43" spans="2:21" x14ac:dyDescent="0.25">
      <c r="B43">
        <v>224</v>
      </c>
      <c r="C43">
        <v>3.5200000000000002E-2</v>
      </c>
      <c r="D43">
        <v>0.12180000000000001</v>
      </c>
      <c r="E43">
        <f t="shared" si="0"/>
        <v>3.2421372384001265E-2</v>
      </c>
      <c r="F43">
        <f t="shared" si="1"/>
        <v>2.5594632034632032E-2</v>
      </c>
      <c r="G43">
        <f t="shared" si="5"/>
        <v>7.0993653707511462E-4</v>
      </c>
      <c r="H43">
        <f t="shared" si="2"/>
        <v>3.0472600777540299E-2</v>
      </c>
      <c r="I43">
        <f t="shared" si="6"/>
        <v>6.6726393983108446E-4</v>
      </c>
      <c r="J43">
        <f t="shared" si="14"/>
        <v>2.2610238601176294E-2</v>
      </c>
      <c r="K43">
        <f t="shared" si="3"/>
        <v>0.10507688311688312</v>
      </c>
      <c r="L43">
        <f t="shared" si="7"/>
        <v>8.246664451570683E-2</v>
      </c>
      <c r="M43">
        <f t="shared" si="8"/>
        <v>1832.5921003490405</v>
      </c>
      <c r="O43">
        <v>4.1099999999999998E-2</v>
      </c>
      <c r="P43">
        <f t="shared" si="4"/>
        <v>2.8632987012987013E-2</v>
      </c>
      <c r="Q43">
        <f t="shared" si="9"/>
        <v>3.0126372319539619E-2</v>
      </c>
      <c r="R43">
        <f t="shared" si="10"/>
        <v>6.5968251392478476E-4</v>
      </c>
      <c r="S43">
        <f t="shared" si="11"/>
        <v>2.2099364216480288E-2</v>
      </c>
      <c r="T43">
        <f t="shared" si="12"/>
        <v>6.5336227965067245E-3</v>
      </c>
      <c r="U43">
        <f t="shared" si="13"/>
        <v>-1.4628144387245079E-4</v>
      </c>
    </row>
    <row r="44" spans="2:21" x14ac:dyDescent="0.25">
      <c r="B44">
        <v>225</v>
      </c>
      <c r="C44">
        <v>2.76E-2</v>
      </c>
      <c r="D44">
        <v>0.1019</v>
      </c>
      <c r="E44">
        <f t="shared" si="0"/>
        <v>2.436439747358516E-2</v>
      </c>
      <c r="F44">
        <f t="shared" si="1"/>
        <v>1.8166450216450213E-2</v>
      </c>
      <c r="G44">
        <f t="shared" si="5"/>
        <v>5.0389576768141049E-4</v>
      </c>
      <c r="H44">
        <f t="shared" si="2"/>
        <v>2.2899911472107876E-2</v>
      </c>
      <c r="I44">
        <f t="shared" si="6"/>
        <v>4.7360779118730151E-4</v>
      </c>
      <c r="J44">
        <f t="shared" si="14"/>
        <v>1.6048200004381712E-2</v>
      </c>
      <c r="K44">
        <f t="shared" si="3"/>
        <v>8.5451948051948057E-2</v>
      </c>
      <c r="L44">
        <f t="shared" si="7"/>
        <v>6.9403748047566341E-2</v>
      </c>
      <c r="M44">
        <f t="shared" si="8"/>
        <v>1542.3055121681409</v>
      </c>
      <c r="O44">
        <v>3.3500000000000002E-2</v>
      </c>
      <c r="P44">
        <f t="shared" si="4"/>
        <v>2.1102597402597404E-2</v>
      </c>
      <c r="Q44">
        <f t="shared" si="9"/>
        <v>2.2639723603825108E-2</v>
      </c>
      <c r="R44">
        <f t="shared" si="10"/>
        <v>4.6822667861220601E-4</v>
      </c>
      <c r="S44">
        <f t="shared" si="11"/>
        <v>1.5685593733508901E-2</v>
      </c>
      <c r="T44">
        <f t="shared" si="12"/>
        <v>5.4170036690885034E-3</v>
      </c>
      <c r="U44">
        <f t="shared" si="13"/>
        <v>-2.0478916125814435E-4</v>
      </c>
    </row>
    <row r="45" spans="2:21" x14ac:dyDescent="0.25">
      <c r="B45">
        <v>226</v>
      </c>
      <c r="C45">
        <v>2.2700000000000001E-2</v>
      </c>
      <c r="D45">
        <v>8.6300000000000002E-2</v>
      </c>
      <c r="E45">
        <f t="shared" si="0"/>
        <v>1.8309646402993537E-2</v>
      </c>
      <c r="F45">
        <f t="shared" si="1"/>
        <v>1.3438268398268397E-2</v>
      </c>
      <c r="G45">
        <f t="shared" si="5"/>
        <v>3.7274682121015193E-4</v>
      </c>
      <c r="H45">
        <f t="shared" si="2"/>
        <v>1.7209097092129033E-2</v>
      </c>
      <c r="I45">
        <f t="shared" si="6"/>
        <v>3.5034189605863739E-4</v>
      </c>
      <c r="J45">
        <f t="shared" si="14"/>
        <v>1.1871335147946927E-2</v>
      </c>
      <c r="K45">
        <f t="shared" si="3"/>
        <v>7.0127012987012988E-2</v>
      </c>
      <c r="L45">
        <f t="shared" si="7"/>
        <v>5.8255677839066058E-2</v>
      </c>
      <c r="M45">
        <f t="shared" si="8"/>
        <v>1294.5706186459124</v>
      </c>
      <c r="O45">
        <v>2.8400000000000002E-2</v>
      </c>
      <c r="P45">
        <f t="shared" si="4"/>
        <v>1.6072207792207794E-2</v>
      </c>
      <c r="Q45">
        <f t="shared" si="9"/>
        <v>1.7013568026747014E-2</v>
      </c>
      <c r="R45">
        <f t="shared" si="10"/>
        <v>3.4636132560024647E-4</v>
      </c>
      <c r="S45">
        <f t="shared" si="11"/>
        <v>1.1603104407608257E-2</v>
      </c>
      <c r="T45">
        <f t="shared" si="12"/>
        <v>4.4691033845995366E-3</v>
      </c>
      <c r="U45">
        <f t="shared" si="13"/>
        <v>-2.4968142480571824E-4</v>
      </c>
    </row>
    <row r="46" spans="2:21" x14ac:dyDescent="0.25">
      <c r="B46">
        <v>227</v>
      </c>
      <c r="C46">
        <v>1.9E-2</v>
      </c>
      <c r="D46">
        <v>7.3200000000000001E-2</v>
      </c>
      <c r="E46">
        <f t="shared" si="0"/>
        <v>1.3759550252211671E-2</v>
      </c>
      <c r="F46">
        <f t="shared" si="1"/>
        <v>9.910086580086578E-3</v>
      </c>
      <c r="G46">
        <f t="shared" si="5"/>
        <v>2.7488312937109117E-4</v>
      </c>
      <c r="H46">
        <f t="shared" si="2"/>
        <v>1.2932496402313115E-2</v>
      </c>
      <c r="I46">
        <f t="shared" si="6"/>
        <v>2.5836055804780384E-4</v>
      </c>
      <c r="J46">
        <f t="shared" si="14"/>
        <v>8.7545475094498327E-3</v>
      </c>
      <c r="K46">
        <f t="shared" si="3"/>
        <v>5.7302077922077921E-2</v>
      </c>
      <c r="L46">
        <f t="shared" si="7"/>
        <v>4.854753041262809E-2</v>
      </c>
      <c r="M46">
        <f t="shared" si="8"/>
        <v>1078.8340091695131</v>
      </c>
      <c r="O46">
        <v>2.46E-2</v>
      </c>
      <c r="P46">
        <f t="shared" si="4"/>
        <v>1.2341818181818183E-2</v>
      </c>
      <c r="Q46">
        <f t="shared" si="9"/>
        <v>1.2785557901062105E-2</v>
      </c>
      <c r="R46">
        <f t="shared" si="10"/>
        <v>2.5542507583300664E-4</v>
      </c>
      <c r="S46">
        <f t="shared" si="11"/>
        <v>8.5567400404057224E-3</v>
      </c>
      <c r="T46">
        <f t="shared" si="12"/>
        <v>3.7850781414124606E-3</v>
      </c>
      <c r="U46">
        <f t="shared" si="13"/>
        <v>-1.4733424383362066E-4</v>
      </c>
    </row>
    <row r="47" spans="2:21" x14ac:dyDescent="0.25">
      <c r="B47">
        <v>228</v>
      </c>
      <c r="C47">
        <v>1.6199999999999999E-2</v>
      </c>
      <c r="D47">
        <v>6.2199999999999998E-2</v>
      </c>
      <c r="E47">
        <f t="shared" si="0"/>
        <v>1.0340190027491987E-2</v>
      </c>
      <c r="F47">
        <f t="shared" si="1"/>
        <v>7.2819047619047603E-3</v>
      </c>
      <c r="G47">
        <f t="shared" si="5"/>
        <v>2.0198337850617885E-4</v>
      </c>
      <c r="H47">
        <f t="shared" si="2"/>
        <v>9.718665790568232E-3</v>
      </c>
      <c r="I47">
        <f t="shared" si="6"/>
        <v>1.8984263787534308E-4</v>
      </c>
      <c r="J47">
        <f t="shared" si="14"/>
        <v>6.4328177844059998E-3</v>
      </c>
      <c r="K47">
        <f t="shared" si="3"/>
        <v>4.6577142857142852E-2</v>
      </c>
      <c r="L47">
        <f t="shared" si="7"/>
        <v>4.0144325072736853E-2</v>
      </c>
      <c r="M47">
        <f t="shared" si="8"/>
        <v>892.09611272748555</v>
      </c>
      <c r="O47">
        <v>2.18E-2</v>
      </c>
      <c r="P47">
        <f t="shared" si="4"/>
        <v>9.6114285714285728E-3</v>
      </c>
      <c r="Q47">
        <f t="shared" si="9"/>
        <v>9.6082427027899004E-3</v>
      </c>
      <c r="R47">
        <f t="shared" si="10"/>
        <v>1.8768565349930631E-4</v>
      </c>
      <c r="S47">
        <f t="shared" si="11"/>
        <v>6.287469392226761E-3</v>
      </c>
      <c r="T47">
        <f t="shared" si="12"/>
        <v>3.3239591792018118E-3</v>
      </c>
      <c r="U47">
        <f t="shared" si="13"/>
        <v>7.2217231225980057E-5</v>
      </c>
    </row>
    <row r="48" spans="2:21" x14ac:dyDescent="0.25">
      <c r="B48">
        <v>229</v>
      </c>
      <c r="C48">
        <v>1.4500000000000001E-2</v>
      </c>
      <c r="D48">
        <v>5.4899999999999997E-2</v>
      </c>
      <c r="E48">
        <f t="shared" si="0"/>
        <v>7.7705686483072996E-3</v>
      </c>
      <c r="F48">
        <f t="shared" si="1"/>
        <v>5.7537229437229376E-3</v>
      </c>
      <c r="G48">
        <f t="shared" si="5"/>
        <v>1.5959511105411456E-4</v>
      </c>
      <c r="H48">
        <f t="shared" si="2"/>
        <v>7.3034982427574845E-3</v>
      </c>
      <c r="I48">
        <f t="shared" si="6"/>
        <v>1.50002228394227E-4</v>
      </c>
      <c r="J48">
        <f t="shared" si="14"/>
        <v>5.0828255091383816E-3</v>
      </c>
      <c r="K48">
        <f t="shared" si="3"/>
        <v>3.9552207792207784E-2</v>
      </c>
      <c r="L48">
        <f t="shared" si="7"/>
        <v>3.4469382283069401E-2</v>
      </c>
      <c r="M48">
        <f t="shared" si="8"/>
        <v>765.98627295709775</v>
      </c>
      <c r="O48">
        <v>2.0299999999999999E-2</v>
      </c>
      <c r="P48">
        <f t="shared" si="4"/>
        <v>8.1810389610389618E-3</v>
      </c>
      <c r="Q48">
        <f t="shared" si="9"/>
        <v>7.2205161910100556E-3</v>
      </c>
      <c r="R48">
        <f t="shared" si="10"/>
        <v>1.4829790913993226E-4</v>
      </c>
      <c r="S48">
        <f t="shared" si="11"/>
        <v>4.9679799561877305E-3</v>
      </c>
      <c r="T48">
        <f t="shared" si="12"/>
        <v>3.2130590048512313E-3</v>
      </c>
      <c r="U48">
        <f t="shared" si="13"/>
        <v>4.2099471961077077E-4</v>
      </c>
    </row>
    <row r="49" spans="2:21" x14ac:dyDescent="0.25">
      <c r="B49">
        <v>230</v>
      </c>
      <c r="C49">
        <v>1.3299999999999999E-2</v>
      </c>
      <c r="D49">
        <v>4.8800000000000003E-2</v>
      </c>
      <c r="E49">
        <f t="shared" si="0"/>
        <v>5.8395190956371497E-3</v>
      </c>
      <c r="F49">
        <f t="shared" si="1"/>
        <v>4.7255411255411189E-3</v>
      </c>
      <c r="G49">
        <f t="shared" si="5"/>
        <v>1.3107569969879947E-4</v>
      </c>
      <c r="H49">
        <f t="shared" si="2"/>
        <v>5.4885194872868305E-3</v>
      </c>
      <c r="I49">
        <f t="shared" si="6"/>
        <v>1.2319705104554035E-4</v>
      </c>
      <c r="J49">
        <f t="shared" si="14"/>
        <v>4.1745320746781342E-3</v>
      </c>
      <c r="K49">
        <f t="shared" si="3"/>
        <v>3.3727272727272724E-2</v>
      </c>
      <c r="L49">
        <f t="shared" si="7"/>
        <v>2.955274065259459E-2</v>
      </c>
      <c r="M49">
        <f t="shared" si="8"/>
        <v>656.72757005765754</v>
      </c>
      <c r="O49">
        <v>1.89E-2</v>
      </c>
      <c r="P49">
        <f t="shared" si="4"/>
        <v>6.8506493506493502E-3</v>
      </c>
      <c r="Q49">
        <f t="shared" si="9"/>
        <v>5.4261591507778909E-3</v>
      </c>
      <c r="R49">
        <f t="shared" si="10"/>
        <v>1.2179729113252476E-4</v>
      </c>
      <c r="S49">
        <f t="shared" si="11"/>
        <v>4.0802092529395794E-3</v>
      </c>
      <c r="T49">
        <f t="shared" si="12"/>
        <v>2.7704400977097707E-3</v>
      </c>
      <c r="U49">
        <f t="shared" si="13"/>
        <v>3.7663010629568469E-4</v>
      </c>
    </row>
    <row r="50" spans="2:21" x14ac:dyDescent="0.25">
      <c r="B50">
        <v>231</v>
      </c>
      <c r="C50">
        <v>1.2E-2</v>
      </c>
      <c r="D50">
        <v>4.1500000000000002E-2</v>
      </c>
      <c r="E50">
        <f t="shared" si="0"/>
        <v>4.3883510733463615E-3</v>
      </c>
      <c r="F50">
        <f t="shared" si="1"/>
        <v>3.5973593073593026E-3</v>
      </c>
      <c r="G50">
        <f t="shared" si="5"/>
        <v>9.9782517124134652E-5</v>
      </c>
      <c r="H50">
        <f t="shared" si="2"/>
        <v>4.1245777244075625E-3</v>
      </c>
      <c r="I50">
        <f t="shared" si="6"/>
        <v>9.3784827270367873E-5</v>
      </c>
      <c r="J50">
        <f t="shared" si="14"/>
        <v>3.1778988720564151E-3</v>
      </c>
      <c r="K50">
        <f t="shared" si="3"/>
        <v>2.670233766233767E-2</v>
      </c>
      <c r="L50">
        <f t="shared" si="7"/>
        <v>2.3524438790281255E-2</v>
      </c>
      <c r="M50">
        <f t="shared" si="8"/>
        <v>522.76530645069454</v>
      </c>
      <c r="O50">
        <v>1.7299999999999999E-2</v>
      </c>
      <c r="P50">
        <f t="shared" si="4"/>
        <v>5.3202597402597397E-3</v>
      </c>
      <c r="Q50">
        <f t="shared" si="9"/>
        <v>4.0777144390631058E-3</v>
      </c>
      <c r="R50">
        <f t="shared" si="10"/>
        <v>9.2719247854724027E-5</v>
      </c>
      <c r="S50">
        <f t="shared" si="11"/>
        <v>3.106094803133255E-3</v>
      </c>
      <c r="T50">
        <f t="shared" si="12"/>
        <v>2.2141649371264847E-3</v>
      </c>
      <c r="U50">
        <f t="shared" si="13"/>
        <v>3.0865514767687758E-4</v>
      </c>
    </row>
    <row r="51" spans="2:21" x14ac:dyDescent="0.25">
      <c r="B51">
        <v>232</v>
      </c>
      <c r="C51">
        <v>1.11E-2</v>
      </c>
      <c r="D51">
        <v>3.5999999999999997E-2</v>
      </c>
      <c r="E51">
        <f t="shared" si="0"/>
        <v>3.2978101154473535E-3</v>
      </c>
      <c r="F51">
        <f t="shared" si="1"/>
        <v>2.8691774891774855E-3</v>
      </c>
      <c r="G51">
        <f t="shared" si="5"/>
        <v>7.958441942686912E-5</v>
      </c>
      <c r="H51">
        <f t="shared" si="2"/>
        <v>3.0995865905340501E-3</v>
      </c>
      <c r="I51">
        <f t="shared" si="6"/>
        <v>7.4800789201138917E-5</v>
      </c>
      <c r="J51">
        <f t="shared" si="14"/>
        <v>2.5346247420805919E-3</v>
      </c>
      <c r="K51">
        <f t="shared" si="3"/>
        <v>2.1477402597402599E-2</v>
      </c>
      <c r="L51">
        <f t="shared" si="7"/>
        <v>1.8942777855322009E-2</v>
      </c>
      <c r="M51">
        <f t="shared" si="8"/>
        <v>420.95061900715569</v>
      </c>
      <c r="O51">
        <v>1.6500000000000001E-2</v>
      </c>
      <c r="P51">
        <f t="shared" si="4"/>
        <v>4.5898701298701314E-3</v>
      </c>
      <c r="Q51">
        <f t="shared" si="9"/>
        <v>3.0643692130113819E-3</v>
      </c>
      <c r="R51">
        <f t="shared" si="10"/>
        <v>7.3950905658496489E-5</v>
      </c>
      <c r="S51">
        <f t="shared" si="11"/>
        <v>2.4773553395596322E-3</v>
      </c>
      <c r="T51">
        <f t="shared" si="12"/>
        <v>2.1125147903104991E-3</v>
      </c>
      <c r="U51">
        <f t="shared" si="13"/>
        <v>5.7812542763640814E-4</v>
      </c>
    </row>
    <row r="52" spans="2:21" x14ac:dyDescent="0.25">
      <c r="B52">
        <v>233</v>
      </c>
      <c r="C52">
        <v>1.03E-2</v>
      </c>
      <c r="D52">
        <v>3.0800000000000001E-2</v>
      </c>
      <c r="E52">
        <f t="shared" si="0"/>
        <v>2.4782774613457867E-3</v>
      </c>
      <c r="F52">
        <f t="shared" si="1"/>
        <v>2.2409956709956678E-3</v>
      </c>
      <c r="G52">
        <f t="shared" si="5"/>
        <v>6.2160092948953399E-5</v>
      </c>
      <c r="H52">
        <f t="shared" si="2"/>
        <v>2.3293140956868407E-3</v>
      </c>
      <c r="I52">
        <f t="shared" si="6"/>
        <v>5.8423797558395811E-5</v>
      </c>
      <c r="J52">
        <f t="shared" si="14"/>
        <v>1.9796903802662418E-3</v>
      </c>
      <c r="K52">
        <f t="shared" si="3"/>
        <v>1.6552467532467537E-2</v>
      </c>
      <c r="L52">
        <f t="shared" si="7"/>
        <v>1.4572777152201295E-2</v>
      </c>
      <c r="M52">
        <f t="shared" si="8"/>
        <v>323.83949227113987</v>
      </c>
      <c r="O52">
        <v>1.54E-2</v>
      </c>
      <c r="P52">
        <f t="shared" si="4"/>
        <v>3.5594805194805214E-3</v>
      </c>
      <c r="Q52">
        <f t="shared" si="9"/>
        <v>2.3028485231078402E-3</v>
      </c>
      <c r="R52">
        <f t="shared" si="10"/>
        <v>5.7759988732662232E-5</v>
      </c>
      <c r="S52">
        <f t="shared" si="11"/>
        <v>1.9349596225441848E-3</v>
      </c>
      <c r="T52">
        <f t="shared" si="12"/>
        <v>1.6245208969363366E-3</v>
      </c>
      <c r="U52">
        <f t="shared" si="13"/>
        <v>4.4410721010869261E-4</v>
      </c>
    </row>
    <row r="53" spans="2:21" x14ac:dyDescent="0.25">
      <c r="B53">
        <v>234</v>
      </c>
      <c r="C53">
        <v>9.7000000000000003E-3</v>
      </c>
      <c r="D53">
        <v>2.7199999999999998E-2</v>
      </c>
      <c r="E53">
        <f t="shared" si="0"/>
        <v>1.8624053418495152E-3</v>
      </c>
      <c r="F53">
        <f t="shared" si="1"/>
        <v>1.8128138528138507E-3</v>
      </c>
      <c r="G53">
        <f t="shared" si="5"/>
        <v>5.0283308909737342E-5</v>
      </c>
      <c r="H53">
        <f t="shared" si="2"/>
        <v>1.7504605849487079E-3</v>
      </c>
      <c r="I53">
        <f t="shared" si="6"/>
        <v>4.7260898768624477E-5</v>
      </c>
      <c r="J53">
        <f t="shared" si="14"/>
        <v>1.6014355547748402E-3</v>
      </c>
      <c r="K53">
        <f t="shared" si="3"/>
        <v>1.3227532467532468E-2</v>
      </c>
      <c r="L53">
        <f t="shared" si="7"/>
        <v>1.1626096912757627E-2</v>
      </c>
      <c r="M53">
        <f t="shared" si="8"/>
        <v>258.35770917239171</v>
      </c>
      <c r="O53">
        <v>1.47E-2</v>
      </c>
      <c r="P53">
        <f t="shared" si="4"/>
        <v>2.9290909090909107E-3</v>
      </c>
      <c r="Q53">
        <f t="shared" si="9"/>
        <v>1.7305719225551635E-3</v>
      </c>
      <c r="R53">
        <f t="shared" si="10"/>
        <v>4.6723922347614585E-5</v>
      </c>
      <c r="S53">
        <f t="shared" si="11"/>
        <v>1.5652513986450887E-3</v>
      </c>
      <c r="T53">
        <f t="shared" si="12"/>
        <v>1.363839510445822E-3</v>
      </c>
      <c r="U53">
        <f t="shared" si="13"/>
        <v>4.2211071181867113E-4</v>
      </c>
    </row>
    <row r="54" spans="2:21" x14ac:dyDescent="0.25">
      <c r="B54">
        <v>235</v>
      </c>
      <c r="C54">
        <v>9.1000000000000004E-3</v>
      </c>
      <c r="D54">
        <v>2.4299999999999999E-2</v>
      </c>
      <c r="E54">
        <f t="shared" si="0"/>
        <v>1.3995824565446637E-3</v>
      </c>
      <c r="F54">
        <f t="shared" si="1"/>
        <v>1.3846320346320336E-3</v>
      </c>
      <c r="G54">
        <f t="shared" si="5"/>
        <v>3.8406524870521291E-5</v>
      </c>
      <c r="H54">
        <f t="shared" si="2"/>
        <v>1.3154568828363457E-3</v>
      </c>
      <c r="I54">
        <f t="shared" si="6"/>
        <v>3.6097999978853157E-5</v>
      </c>
      <c r="J54">
        <f t="shared" si="14"/>
        <v>1.2231807292834391E-3</v>
      </c>
      <c r="K54">
        <f t="shared" si="3"/>
        <v>1.0602597402597402E-2</v>
      </c>
      <c r="L54">
        <f t="shared" si="7"/>
        <v>9.3794166733139617E-3</v>
      </c>
      <c r="M54">
        <f t="shared" si="8"/>
        <v>208.43148162919914</v>
      </c>
      <c r="O54">
        <v>1.43E-2</v>
      </c>
      <c r="P54">
        <f t="shared" si="4"/>
        <v>2.5987012987012982E-3</v>
      </c>
      <c r="Q54">
        <f t="shared" si="9"/>
        <v>1.3005107149186242E-3</v>
      </c>
      <c r="R54">
        <f t="shared" si="10"/>
        <v>3.5687855962566938E-5</v>
      </c>
      <c r="S54">
        <f t="shared" si="11"/>
        <v>1.1955431747459925E-3</v>
      </c>
      <c r="T54">
        <f t="shared" si="12"/>
        <v>1.4031581239553057E-3</v>
      </c>
      <c r="U54">
        <f t="shared" si="13"/>
        <v>6.434133134771749E-4</v>
      </c>
    </row>
    <row r="55" spans="2:21" x14ac:dyDescent="0.25">
      <c r="B55">
        <v>236</v>
      </c>
      <c r="C55">
        <v>8.6999999999999994E-3</v>
      </c>
      <c r="D55">
        <v>2.1399999999999999E-2</v>
      </c>
      <c r="E55">
        <f t="shared" si="0"/>
        <v>1.0517748250884647E-3</v>
      </c>
      <c r="F55">
        <f t="shared" si="1"/>
        <v>1.1564502164502152E-3</v>
      </c>
      <c r="G55">
        <f t="shared" si="5"/>
        <v>3.2077283270004863E-5</v>
      </c>
      <c r="H55">
        <f t="shared" si="2"/>
        <v>9.8855514113288089E-4</v>
      </c>
      <c r="I55">
        <f t="shared" si="6"/>
        <v>3.0149194042053552E-5</v>
      </c>
      <c r="J55">
        <f t="shared" si="14"/>
        <v>1.0216054401149845E-3</v>
      </c>
      <c r="K55">
        <f t="shared" si="3"/>
        <v>7.9776623376623355E-3</v>
      </c>
      <c r="L55">
        <f t="shared" si="7"/>
        <v>6.9560568975473511E-3</v>
      </c>
      <c r="M55">
        <f t="shared" si="8"/>
        <v>154.57904216771891</v>
      </c>
      <c r="O55">
        <v>1.37E-2</v>
      </c>
      <c r="P55">
        <f t="shared" si="4"/>
        <v>2.0683116883116887E-3</v>
      </c>
      <c r="Q55">
        <f t="shared" si="9"/>
        <v>9.7732321758747256E-4</v>
      </c>
      <c r="R55">
        <f t="shared" si="10"/>
        <v>2.9806640118305857E-5</v>
      </c>
      <c r="S55">
        <f t="shared" si="11"/>
        <v>9.9852244396324611E-4</v>
      </c>
      <c r="T55">
        <f t="shared" si="12"/>
        <v>1.0697892443484425E-3</v>
      </c>
      <c r="U55">
        <f t="shared" si="13"/>
        <v>5.0633969163388587E-4</v>
      </c>
    </row>
    <row r="56" spans="2:21" x14ac:dyDescent="0.25">
      <c r="B56">
        <v>237</v>
      </c>
      <c r="C56">
        <v>8.3000000000000001E-3</v>
      </c>
      <c r="D56">
        <v>1.9199999999999998E-2</v>
      </c>
      <c r="E56">
        <f t="shared" si="0"/>
        <v>7.9040022080654657E-4</v>
      </c>
      <c r="F56">
        <f t="shared" si="1"/>
        <v>9.2826839826839168E-4</v>
      </c>
      <c r="G56">
        <f t="shared" si="5"/>
        <v>2.5748041669488286E-5</v>
      </c>
      <c r="H56">
        <f t="shared" si="2"/>
        <v>7.4289114285004513E-4</v>
      </c>
      <c r="I56">
        <f t="shared" si="6"/>
        <v>2.4200388105253812E-5</v>
      </c>
      <c r="J56">
        <f t="shared" si="14"/>
        <v>8.2003015094652537E-4</v>
      </c>
      <c r="K56">
        <f t="shared" si="3"/>
        <v>6.0527272727272687E-3</v>
      </c>
      <c r="L56">
        <f t="shared" si="7"/>
        <v>5.2326971217807432E-3</v>
      </c>
      <c r="M56">
        <f t="shared" si="8"/>
        <v>116.28215826179428</v>
      </c>
      <c r="O56">
        <v>1.3299999999999999E-2</v>
      </c>
      <c r="P56">
        <f t="shared" si="4"/>
        <v>1.7379220779220779E-3</v>
      </c>
      <c r="Q56">
        <f t="shared" si="9"/>
        <v>7.344504437207176E-4</v>
      </c>
      <c r="R56">
        <f t="shared" si="10"/>
        <v>2.3925424274044644E-5</v>
      </c>
      <c r="S56">
        <f t="shared" si="11"/>
        <v>8.015017131804956E-4</v>
      </c>
      <c r="T56">
        <f t="shared" si="12"/>
        <v>9.364203647415823E-4</v>
      </c>
      <c r="U56">
        <f t="shared" si="13"/>
        <v>5.1256516973912682E-4</v>
      </c>
    </row>
    <row r="57" spans="2:21" x14ac:dyDescent="0.25">
      <c r="B57">
        <v>238</v>
      </c>
      <c r="C57">
        <v>7.7999999999999996E-3</v>
      </c>
      <c r="D57">
        <v>1.7100000000000001E-2</v>
      </c>
      <c r="E57">
        <f t="shared" si="0"/>
        <v>5.9397933297984282E-4</v>
      </c>
      <c r="F57">
        <f t="shared" si="1"/>
        <v>6.0008658008657394E-4</v>
      </c>
      <c r="G57">
        <f t="shared" si="5"/>
        <v>1.6645028849622043E-5</v>
      </c>
      <c r="H57">
        <f t="shared" si="2"/>
        <v>5.5827664756523843E-4</v>
      </c>
      <c r="I57">
        <f t="shared" si="6"/>
        <v>1.5644535741968351E-5</v>
      </c>
      <c r="J57">
        <f t="shared" si="14"/>
        <v>5.301150936165975E-4</v>
      </c>
      <c r="K57">
        <f t="shared" si="3"/>
        <v>4.2277922077922046E-3</v>
      </c>
      <c r="L57">
        <f t="shared" si="7"/>
        <v>3.6976771141756072E-3</v>
      </c>
      <c r="M57">
        <f t="shared" si="8"/>
        <v>82.170602537235709</v>
      </c>
      <c r="O57">
        <v>1.2800000000000001E-2</v>
      </c>
      <c r="P57">
        <f t="shared" si="4"/>
        <v>1.3075324675324695E-3</v>
      </c>
      <c r="Q57">
        <f t="shared" si="9"/>
        <v>5.5193353086721228E-4</v>
      </c>
      <c r="R57">
        <f t="shared" si="10"/>
        <v>1.5466783159390285E-5</v>
      </c>
      <c r="S57">
        <f t="shared" si="11"/>
        <v>5.1813723583957454E-4</v>
      </c>
      <c r="T57">
        <f t="shared" si="12"/>
        <v>7.8939523169289493E-4</v>
      </c>
      <c r="U57">
        <f t="shared" si="13"/>
        <v>4.8987863101648192E-4</v>
      </c>
    </row>
    <row r="58" spans="2:21" x14ac:dyDescent="0.25">
      <c r="B58">
        <v>239</v>
      </c>
      <c r="C58">
        <v>7.4000000000000003E-3</v>
      </c>
      <c r="D58">
        <v>1.54E-2</v>
      </c>
      <c r="E58">
        <f t="shared" si="0"/>
        <v>4.4637063442006674E-4</v>
      </c>
      <c r="F58">
        <f t="shared" si="1"/>
        <v>3.7190476190475732E-4</v>
      </c>
      <c r="G58">
        <f t="shared" si="5"/>
        <v>1.0315787249105662E-5</v>
      </c>
      <c r="H58">
        <f t="shared" si="2"/>
        <v>4.1954035691012871E-4</v>
      </c>
      <c r="I58">
        <f t="shared" si="6"/>
        <v>9.6957298051687931E-6</v>
      </c>
      <c r="J58">
        <f t="shared" si="14"/>
        <v>3.2853980444814452E-4</v>
      </c>
      <c r="K58">
        <f t="shared" si="3"/>
        <v>2.8028571428571382E-3</v>
      </c>
      <c r="L58">
        <f t="shared" si="7"/>
        <v>2.4743173384089937E-3</v>
      </c>
      <c r="M58">
        <f t="shared" si="8"/>
        <v>54.984829742422079</v>
      </c>
      <c r="O58">
        <v>1.2E-2</v>
      </c>
      <c r="P58">
        <f t="shared" si="4"/>
        <v>5.771428571428594E-4</v>
      </c>
      <c r="Q58">
        <f t="shared" si="9"/>
        <v>4.1477355633729715E-4</v>
      </c>
      <c r="R58">
        <f t="shared" si="10"/>
        <v>9.5855673151292499E-6</v>
      </c>
      <c r="S58">
        <f t="shared" si="11"/>
        <v>3.2111650505682989E-4</v>
      </c>
      <c r="T58">
        <f t="shared" si="12"/>
        <v>2.5602635208602951E-4</v>
      </c>
      <c r="U58">
        <f t="shared" si="13"/>
        <v>5.5603466227809034E-5</v>
      </c>
    </row>
    <row r="59" spans="2:21" x14ac:dyDescent="0.25">
      <c r="B59">
        <v>240</v>
      </c>
      <c r="C59">
        <v>7.1999999999999998E-3</v>
      </c>
      <c r="D59">
        <v>1.41E-2</v>
      </c>
      <c r="E59">
        <f t="shared" si="0"/>
        <v>3.3544389881884091E-4</v>
      </c>
      <c r="F59">
        <f t="shared" si="1"/>
        <v>3.437229437229395E-4</v>
      </c>
      <c r="G59">
        <f t="shared" si="5"/>
        <v>9.534088087288903E-6</v>
      </c>
      <c r="H59">
        <f t="shared" si="2"/>
        <v>3.1528116363797914E-4</v>
      </c>
      <c r="I59">
        <f t="shared" si="6"/>
        <v>8.9610167213409657E-6</v>
      </c>
      <c r="J59">
        <f t="shared" si="14"/>
        <v>3.0364405160263861E-4</v>
      </c>
      <c r="K59">
        <f t="shared" si="3"/>
        <v>1.7779220779220711E-3</v>
      </c>
      <c r="L59">
        <f t="shared" si="7"/>
        <v>1.4742780263194324E-3</v>
      </c>
      <c r="M59">
        <f t="shared" si="8"/>
        <v>32.761733918209607</v>
      </c>
      <c r="O59">
        <v>1.1900000000000001E-2</v>
      </c>
      <c r="P59">
        <f t="shared" si="4"/>
        <v>5.4675324675324682E-4</v>
      </c>
      <c r="Q59">
        <f t="shared" si="9"/>
        <v>3.1169895180381589E-4</v>
      </c>
      <c r="R59">
        <f t="shared" si="10"/>
        <v>8.859202011654784E-6</v>
      </c>
      <c r="S59">
        <f t="shared" si="11"/>
        <v>2.9678326739043527E-4</v>
      </c>
      <c r="T59">
        <f t="shared" si="12"/>
        <v>2.4996997936281156E-4</v>
      </c>
      <c r="U59">
        <f t="shared" si="13"/>
        <v>1.3055156362221072E-4</v>
      </c>
    </row>
    <row r="60" spans="2:21" x14ac:dyDescent="0.25">
      <c r="B60">
        <v>241</v>
      </c>
      <c r="C60">
        <v>7.0000000000000001E-3</v>
      </c>
      <c r="D60">
        <v>1.2999999999999999E-2</v>
      </c>
      <c r="E60">
        <f t="shared" si="0"/>
        <v>2.5208335983162538E-4</v>
      </c>
      <c r="F60">
        <f t="shared" si="1"/>
        <v>3.1554112554112255E-4</v>
      </c>
      <c r="G60">
        <f t="shared" si="5"/>
        <v>8.7523889254721673E-6</v>
      </c>
      <c r="H60">
        <f t="shared" si="2"/>
        <v>2.3693122844487476E-4</v>
      </c>
      <c r="I60">
        <f t="shared" si="6"/>
        <v>8.226303637513157E-6</v>
      </c>
      <c r="J60">
        <f t="shared" si="14"/>
        <v>2.7874829875713329E-4</v>
      </c>
      <c r="K60">
        <f t="shared" si="3"/>
        <v>9.5298701298701834E-4</v>
      </c>
      <c r="L60">
        <f t="shared" si="7"/>
        <v>6.7423871422988505E-4</v>
      </c>
      <c r="M60">
        <f t="shared" si="8"/>
        <v>14.98308253844189</v>
      </c>
      <c r="O60">
        <v>1.1599999999999999E-2</v>
      </c>
      <c r="P60">
        <f t="shared" si="4"/>
        <v>3.1636363636363546E-4</v>
      </c>
      <c r="Q60">
        <f t="shared" si="9"/>
        <v>2.3423922540661958E-4</v>
      </c>
      <c r="R60">
        <f t="shared" si="10"/>
        <v>8.1328367081803384E-6</v>
      </c>
      <c r="S60">
        <f t="shared" si="11"/>
        <v>2.7245002972404135E-4</v>
      </c>
      <c r="T60">
        <f t="shared" si="12"/>
        <v>4.3913606639594106E-5</v>
      </c>
      <c r="U60">
        <f t="shared" si="13"/>
        <v>-1.0700596140951872E-5</v>
      </c>
    </row>
    <row r="61" spans="2:21" x14ac:dyDescent="0.25">
      <c r="B61">
        <v>242</v>
      </c>
      <c r="C61">
        <v>6.4999999999999997E-3</v>
      </c>
      <c r="D61">
        <v>1.2200000000000001E-2</v>
      </c>
      <c r="E61">
        <f t="shared" si="0"/>
        <v>1.8943859324244066E-4</v>
      </c>
      <c r="F61">
        <f t="shared" si="1"/>
        <v>-1.2640692640695193E-5</v>
      </c>
      <c r="G61">
        <f t="shared" si="5"/>
        <v>-3.5062389439407503E-7</v>
      </c>
      <c r="H61">
        <f t="shared" si="2"/>
        <v>1.7805188982636475E-4</v>
      </c>
      <c r="I61">
        <f t="shared" si="6"/>
        <v>-3.2954872577230761E-7</v>
      </c>
      <c r="J61">
        <f t="shared" si="14"/>
        <v>-1.1166758572794643E-5</v>
      </c>
      <c r="K61">
        <f t="shared" si="3"/>
        <v>4.2805194805195339E-4</v>
      </c>
      <c r="L61">
        <f t="shared" si="7"/>
        <v>4.3921870662474804E-4</v>
      </c>
      <c r="M61">
        <f t="shared" si="8"/>
        <v>9.7604157027721783</v>
      </c>
      <c r="O61">
        <v>1.1299999999999999E-2</v>
      </c>
      <c r="P61">
        <f t="shared" si="4"/>
        <v>8.5974025974025828E-5</v>
      </c>
      <c r="Q61">
        <f t="shared" si="9"/>
        <v>1.7602887145295025E-4</v>
      </c>
      <c r="R61">
        <f t="shared" si="10"/>
        <v>-3.2580440647402406E-7</v>
      </c>
      <c r="S61">
        <f t="shared" si="11"/>
        <v>-1.0914447616879806E-5</v>
      </c>
      <c r="T61">
        <f t="shared" si="12"/>
        <v>9.6888473590905639E-5</v>
      </c>
      <c r="U61">
        <f t="shared" si="13"/>
        <v>6.1311193612238556E-5</v>
      </c>
    </row>
    <row r="62" spans="2:21" x14ac:dyDescent="0.25">
      <c r="B62">
        <v>243</v>
      </c>
      <c r="C62">
        <v>6.4000000000000003E-3</v>
      </c>
      <c r="D62">
        <v>1.15E-2</v>
      </c>
      <c r="E62">
        <f t="shared" si="0"/>
        <v>1.4236156100761656E-4</v>
      </c>
      <c r="F62">
        <f t="shared" si="1"/>
        <v>5.9177489177488114E-5</v>
      </c>
      <c r="G62">
        <f t="shared" si="5"/>
        <v>1.6414481631390246E-6</v>
      </c>
      <c r="H62">
        <f t="shared" si="2"/>
        <v>1.3380454606521378E-4</v>
      </c>
      <c r="I62">
        <f t="shared" si="6"/>
        <v>1.542784616885772E-6</v>
      </c>
      <c r="J62">
        <f t="shared" si="14"/>
        <v>5.2277256743174383E-5</v>
      </c>
      <c r="K62">
        <f t="shared" si="3"/>
        <v>3.1168831168860989E-6</v>
      </c>
      <c r="L62">
        <f t="shared" si="7"/>
        <v>-4.9160373626288284E-5</v>
      </c>
      <c r="M62">
        <f t="shared" si="8"/>
        <v>-1.0924527472508507</v>
      </c>
      <c r="O62">
        <v>1.11E-2</v>
      </c>
      <c r="P62">
        <f t="shared" si="4"/>
        <v>-4.4415584415582673E-5</v>
      </c>
      <c r="Q62">
        <f t="shared" si="9"/>
        <v>1.3228426422265491E-4</v>
      </c>
      <c r="R62">
        <f t="shared" si="10"/>
        <v>1.5252555604448388E-6</v>
      </c>
      <c r="S62">
        <f t="shared" si="11"/>
        <v>5.1096061274902097E-5</v>
      </c>
      <c r="T62">
        <f t="shared" si="12"/>
        <v>-9.5511645690484777E-5</v>
      </c>
      <c r="U62">
        <f t="shared" si="13"/>
        <v>-9.1529592216945877E-5</v>
      </c>
    </row>
    <row r="63" spans="2:21" x14ac:dyDescent="0.25">
      <c r="B63">
        <v>244</v>
      </c>
      <c r="C63">
        <v>6.1999999999999998E-3</v>
      </c>
      <c r="D63">
        <v>1.0999999999999999E-2</v>
      </c>
      <c r="E63">
        <f t="shared" si="0"/>
        <v>1.0698355443649293E-4</v>
      </c>
      <c r="F63">
        <f t="shared" si="1"/>
        <v>3.0995670995670292E-5</v>
      </c>
      <c r="G63">
        <f t="shared" si="5"/>
        <v>8.5974900132226489E-7</v>
      </c>
      <c r="H63">
        <f t="shared" si="2"/>
        <v>1.0055302735161885E-4</v>
      </c>
      <c r="I63">
        <f t="shared" si="6"/>
        <v>8.0807153305794257E-7</v>
      </c>
      <c r="J63">
        <f t="shared" si="14"/>
        <v>2.7381503897668384E-5</v>
      </c>
      <c r="K63">
        <f t="shared" si="3"/>
        <v>-2.2181818181818067E-4</v>
      </c>
      <c r="L63">
        <f t="shared" si="7"/>
        <v>-2.4919968571584904E-4</v>
      </c>
      <c r="M63">
        <f t="shared" si="8"/>
        <v>-5.5377707936855334</v>
      </c>
      <c r="O63">
        <v>1.0999999999999999E-2</v>
      </c>
      <c r="P63">
        <f t="shared" si="4"/>
        <v>-7.4805194805196984E-5</v>
      </c>
      <c r="Q63">
        <f t="shared" si="9"/>
        <v>9.9410547920296047E-5</v>
      </c>
      <c r="R63">
        <f t="shared" si="10"/>
        <v>7.988902569703726E-7</v>
      </c>
      <c r="S63">
        <f t="shared" si="11"/>
        <v>2.6762823608507484E-5</v>
      </c>
      <c r="T63">
        <f t="shared" si="12"/>
        <v>-1.0156801841370447E-4</v>
      </c>
      <c r="U63">
        <f t="shared" si="13"/>
        <v>-8.1382523452800515E-5</v>
      </c>
    </row>
    <row r="64" spans="2:21" x14ac:dyDescent="0.25">
      <c r="B64">
        <v>245</v>
      </c>
      <c r="C64">
        <v>5.7999999999999996E-3</v>
      </c>
      <c r="D64">
        <v>1.03E-2</v>
      </c>
      <c r="E64">
        <f t="shared" si="0"/>
        <v>8.0397270434915479E-5</v>
      </c>
      <c r="F64">
        <f t="shared" si="1"/>
        <v>-1.9718614718615413E-4</v>
      </c>
      <c r="G64">
        <f t="shared" si="5"/>
        <v>-5.4694925991943338E-6</v>
      </c>
      <c r="H64">
        <f t="shared" si="2"/>
        <v>7.556478166778849E-5</v>
      </c>
      <c r="I64">
        <f t="shared" si="6"/>
        <v>-5.1407344037418172E-6</v>
      </c>
      <c r="J64">
        <f t="shared" si="14"/>
        <v>-1.7419378527079146E-4</v>
      </c>
      <c r="K64">
        <f t="shared" si="3"/>
        <v>-6.4675324675324622E-4</v>
      </c>
      <c r="L64">
        <f t="shared" si="7"/>
        <v>-4.7255946148245479E-4</v>
      </c>
      <c r="M64">
        <f t="shared" si="8"/>
        <v>-10.501321366276773</v>
      </c>
      <c r="O64">
        <v>1.0800000000000001E-2</v>
      </c>
      <c r="P64">
        <f t="shared" si="4"/>
        <v>-2.0519480519480549E-4</v>
      </c>
      <c r="Q64">
        <f t="shared" si="9"/>
        <v>7.4706217673628877E-5</v>
      </c>
      <c r="R64">
        <f t="shared" si="10"/>
        <v>-5.082325587290862E-6</v>
      </c>
      <c r="S64">
        <f t="shared" si="11"/>
        <v>-1.7025790717424387E-4</v>
      </c>
      <c r="T64">
        <f t="shared" si="12"/>
        <v>-3.4936898020561618E-5</v>
      </c>
      <c r="U64">
        <f t="shared" si="13"/>
        <v>3.3410259707161518E-6</v>
      </c>
    </row>
    <row r="65" spans="2:21" x14ac:dyDescent="0.25">
      <c r="B65">
        <v>246</v>
      </c>
      <c r="C65">
        <v>5.5999999999999999E-3</v>
      </c>
      <c r="D65">
        <v>9.7999999999999997E-3</v>
      </c>
      <c r="E65">
        <f t="shared" si="0"/>
        <v>6.0417894389757704E-5</v>
      </c>
      <c r="F65">
        <f t="shared" si="1"/>
        <v>-2.2536796536797108E-4</v>
      </c>
      <c r="G65">
        <f t="shared" si="5"/>
        <v>-6.2511917610110695E-6</v>
      </c>
      <c r="H65">
        <f t="shared" si="2"/>
        <v>5.678631841220846E-5</v>
      </c>
      <c r="I65">
        <f t="shared" si="6"/>
        <v>-5.8754474875696226E-6</v>
      </c>
      <c r="J65">
        <f t="shared" si="14"/>
        <v>-1.9908953811629664E-4</v>
      </c>
      <c r="K65">
        <f t="shared" si="3"/>
        <v>-8.7168831168831298E-4</v>
      </c>
      <c r="L65">
        <f t="shared" si="7"/>
        <v>-6.7259877357201629E-4</v>
      </c>
      <c r="M65">
        <f t="shared" si="8"/>
        <v>-14.946639412711471</v>
      </c>
      <c r="O65">
        <v>1.06E-2</v>
      </c>
      <c r="P65">
        <f t="shared" si="4"/>
        <v>-3.3558441558441572E-4</v>
      </c>
      <c r="Q65">
        <f t="shared" si="9"/>
        <v>5.6141114558329155E-5</v>
      </c>
      <c r="R65">
        <f t="shared" si="10"/>
        <v>-5.808690890765305E-6</v>
      </c>
      <c r="S65">
        <f t="shared" si="11"/>
        <v>-1.9459114484063773E-4</v>
      </c>
      <c r="T65">
        <f t="shared" si="12"/>
        <v>-1.4099327074377799E-4</v>
      </c>
      <c r="U65">
        <f t="shared" si="13"/>
        <v>-8.651190526513511E-5</v>
      </c>
    </row>
    <row r="66" spans="2:21" x14ac:dyDescent="0.25">
      <c r="B66">
        <v>247</v>
      </c>
      <c r="C66">
        <v>5.4999999999999997E-3</v>
      </c>
      <c r="D66">
        <v>9.7000000000000003E-3</v>
      </c>
      <c r="E66">
        <f t="shared" si="0"/>
        <v>4.5403555901154494E-5</v>
      </c>
      <c r="F66">
        <f t="shared" si="1"/>
        <v>-1.5354978354978864E-4</v>
      </c>
      <c r="G66">
        <f t="shared" si="5"/>
        <v>-4.2591197034779938E-6</v>
      </c>
      <c r="H66">
        <f t="shared" si="2"/>
        <v>4.2674456110912573E-5</v>
      </c>
      <c r="I66">
        <f t="shared" si="6"/>
        <v>-4.003114144911567E-6</v>
      </c>
      <c r="J66">
        <f t="shared" si="14"/>
        <v>-1.3564552280032844E-4</v>
      </c>
      <c r="K66">
        <f t="shared" si="3"/>
        <v>-6.966233766233787E-4</v>
      </c>
      <c r="L66">
        <f t="shared" si="7"/>
        <v>-5.6097785382305029E-4</v>
      </c>
      <c r="M66">
        <f t="shared" si="8"/>
        <v>-12.466174529401117</v>
      </c>
      <c r="O66">
        <v>1.0699999999999999E-2</v>
      </c>
      <c r="P66">
        <f t="shared" si="4"/>
        <v>-1.6597402597402604E-4</v>
      </c>
      <c r="Q66">
        <f t="shared" si="9"/>
        <v>4.2189590665945732E-5</v>
      </c>
      <c r="R66">
        <f t="shared" si="10"/>
        <v>-3.9576309238464659E-6</v>
      </c>
      <c r="S66">
        <f t="shared" si="11"/>
        <v>-1.325806359488566E-4</v>
      </c>
      <c r="T66">
        <f t="shared" si="12"/>
        <v>-3.3393390025169439E-5</v>
      </c>
      <c r="U66">
        <f t="shared" si="13"/>
        <v>1.2046537432988337E-5</v>
      </c>
    </row>
    <row r="67" spans="2:21" x14ac:dyDescent="0.25">
      <c r="B67">
        <v>248</v>
      </c>
      <c r="C67">
        <v>5.4000000000000003E-3</v>
      </c>
      <c r="D67">
        <v>9.4999999999999998E-3</v>
      </c>
      <c r="E67">
        <f t="shared" si="0"/>
        <v>3.4120402726559314E-5</v>
      </c>
      <c r="F67">
        <f t="shared" si="1"/>
        <v>-8.1731601731605333E-5</v>
      </c>
      <c r="G67">
        <f t="shared" si="5"/>
        <v>-2.2670476459448945E-6</v>
      </c>
      <c r="H67">
        <f t="shared" si="2"/>
        <v>3.2069506445952023E-5</v>
      </c>
      <c r="I67">
        <f t="shared" si="6"/>
        <v>-2.1307808022534882E-6</v>
      </c>
      <c r="J67">
        <f t="shared" si="14"/>
        <v>-7.2201507484359449E-5</v>
      </c>
      <c r="K67">
        <f t="shared" si="3"/>
        <v>-6.2155844155844554E-4</v>
      </c>
      <c r="L67">
        <f t="shared" si="7"/>
        <v>-5.4935693407408607E-4</v>
      </c>
      <c r="M67">
        <f t="shared" si="8"/>
        <v>-12.207931868313024</v>
      </c>
      <c r="O67">
        <v>1.0699999999999999E-2</v>
      </c>
      <c r="P67">
        <f t="shared" si="4"/>
        <v>-9.6363636363635749E-5</v>
      </c>
      <c r="Q67">
        <f t="shared" si="9"/>
        <v>3.1705134010311131E-5</v>
      </c>
      <c r="R67">
        <f t="shared" si="10"/>
        <v>-2.1065709569276035E-6</v>
      </c>
      <c r="S67">
        <f t="shared" si="11"/>
        <v>-7.0570127057074724E-5</v>
      </c>
      <c r="T67">
        <f t="shared" si="12"/>
        <v>-2.5793509306561025E-5</v>
      </c>
      <c r="U67">
        <f t="shared" si="13"/>
        <v>1.8705108709893597E-5</v>
      </c>
    </row>
    <row r="68" spans="2:21" x14ac:dyDescent="0.25">
      <c r="B68">
        <v>249</v>
      </c>
      <c r="C68">
        <v>5.3E-3</v>
      </c>
      <c r="D68">
        <v>9.1000000000000004E-3</v>
      </c>
      <c r="E68">
        <f t="shared" si="0"/>
        <v>2.5641204947848403E-5</v>
      </c>
      <c r="F68">
        <f t="shared" si="1"/>
        <v>-9.9134199134228926E-6</v>
      </c>
      <c r="G68">
        <f t="shared" si="5"/>
        <v>-2.7497558841181882E-7</v>
      </c>
      <c r="H68">
        <f t="shared" si="2"/>
        <v>2.4099973084928527E-5</v>
      </c>
      <c r="I68">
        <f t="shared" si="6"/>
        <v>-2.5844745959543111E-7</v>
      </c>
      <c r="J68">
        <f t="shared" si="14"/>
        <v>-8.7574921683911818E-6</v>
      </c>
      <c r="K68">
        <f t="shared" si="3"/>
        <v>-7.4649350649351118E-4</v>
      </c>
      <c r="L68">
        <f t="shared" si="7"/>
        <v>-7.3773601432511999E-4</v>
      </c>
      <c r="M68">
        <f t="shared" si="8"/>
        <v>-16.394133651669332</v>
      </c>
      <c r="O68">
        <v>1.06E-2</v>
      </c>
      <c r="P68">
        <f t="shared" si="4"/>
        <v>-1.2675324675324832E-4</v>
      </c>
      <c r="Q68">
        <f t="shared" si="9"/>
        <v>2.3826150165120422E-5</v>
      </c>
      <c r="R68">
        <f t="shared" si="10"/>
        <v>-2.5551099000876317E-7</v>
      </c>
      <c r="S68">
        <f t="shared" si="11"/>
        <v>-8.5596181652935663E-6</v>
      </c>
      <c r="T68">
        <f t="shared" si="12"/>
        <v>-1.1819362858795476E-4</v>
      </c>
      <c r="U68">
        <f t="shared" si="13"/>
        <v>-5.8436062855639802E-5</v>
      </c>
    </row>
    <row r="69" spans="2:21" x14ac:dyDescent="0.25">
      <c r="B69">
        <v>250</v>
      </c>
      <c r="C69">
        <v>5.1000000000000004E-3</v>
      </c>
      <c r="D69">
        <v>8.9999999999999993E-3</v>
      </c>
      <c r="E69">
        <f t="shared" si="0"/>
        <v>1.9269156828145852E-5</v>
      </c>
      <c r="F69">
        <f t="shared" si="1"/>
        <v>-3.8095238095239847E-5</v>
      </c>
      <c r="G69">
        <f t="shared" si="5"/>
        <v>-1.0566747502285546E-6</v>
      </c>
      <c r="H69">
        <f t="shared" si="2"/>
        <v>1.8110933627031016E-5</v>
      </c>
      <c r="I69">
        <f t="shared" si="6"/>
        <v>-9.9316054342323779E-7</v>
      </c>
      <c r="J69">
        <f t="shared" si="14"/>
        <v>-3.365324501389641E-5</v>
      </c>
      <c r="K69">
        <f t="shared" si="3"/>
        <v>-5.7142857142857863E-4</v>
      </c>
      <c r="L69">
        <f t="shared" si="7"/>
        <v>-5.3777532641468217E-4</v>
      </c>
      <c r="M69">
        <f t="shared" si="8"/>
        <v>-11.950562809215159</v>
      </c>
      <c r="O69">
        <v>1.04E-2</v>
      </c>
      <c r="P69">
        <f t="shared" si="4"/>
        <v>-2.5714285714285856E-4</v>
      </c>
      <c r="Q69">
        <f t="shared" si="9"/>
        <v>1.7905157931401476E-5</v>
      </c>
      <c r="R69">
        <f t="shared" si="10"/>
        <v>-9.8187629348320683E-7</v>
      </c>
      <c r="S69">
        <f t="shared" si="11"/>
        <v>-3.2892855831687429E-5</v>
      </c>
      <c r="T69">
        <f t="shared" si="12"/>
        <v>-2.2425000131117112E-4</v>
      </c>
      <c r="U69">
        <f t="shared" si="13"/>
        <v>-1.8068950840661825E-4</v>
      </c>
    </row>
    <row r="70" spans="2:21" x14ac:dyDescent="0.25">
      <c r="B70">
        <v>251</v>
      </c>
      <c r="C70">
        <v>4.5999999999999999E-3</v>
      </c>
      <c r="D70">
        <v>8.6999999999999994E-3</v>
      </c>
      <c r="E70">
        <f t="shared" si="0"/>
        <v>1.4480614527393194E-5</v>
      </c>
      <c r="F70">
        <f t="shared" si="1"/>
        <v>-3.6627705627705759E-4</v>
      </c>
      <c r="G70">
        <f t="shared" si="5"/>
        <v>-1.0159687570094796E-5</v>
      </c>
      <c r="H70">
        <f t="shared" si="2"/>
        <v>1.3610219218371195E-5</v>
      </c>
      <c r="I70">
        <f t="shared" si="6"/>
        <v>-9.5490129067087027E-6</v>
      </c>
      <c r="J70">
        <f t="shared" si="14"/>
        <v>-3.2356830234382439E-4</v>
      </c>
      <c r="K70">
        <f t="shared" si="3"/>
        <v>-5.9636363636363099E-4</v>
      </c>
      <c r="L70">
        <f t="shared" si="7"/>
        <v>-2.727953340198066E-4</v>
      </c>
      <c r="M70">
        <f t="shared" si="8"/>
        <v>-6.0621185337734795</v>
      </c>
      <c r="O70">
        <v>1.03E-2</v>
      </c>
      <c r="P70">
        <f t="shared" si="4"/>
        <v>-2.8753246753246767E-4</v>
      </c>
      <c r="Q70">
        <f t="shared" si="9"/>
        <v>1.3455580457885053E-5</v>
      </c>
      <c r="R70">
        <f t="shared" si="10"/>
        <v>-9.4405174081375693E-6</v>
      </c>
      <c r="S70">
        <f t="shared" si="11"/>
        <v>-3.1625733317260855E-4</v>
      </c>
      <c r="T70">
        <f t="shared" si="12"/>
        <v>2.8724865640140885E-5</v>
      </c>
      <c r="U70">
        <f t="shared" si="13"/>
        <v>5.0821638452662551E-5</v>
      </c>
    </row>
    <row r="71" spans="2:21" x14ac:dyDescent="0.25">
      <c r="B71">
        <v>252</v>
      </c>
      <c r="C71">
        <v>4.5999999999999999E-3</v>
      </c>
      <c r="D71">
        <v>8.6999999999999994E-3</v>
      </c>
      <c r="E71">
        <f t="shared" si="0"/>
        <v>1.0882063961650128E-5</v>
      </c>
      <c r="F71">
        <f t="shared" si="1"/>
        <v>-1.9445887445887489E-4</v>
      </c>
      <c r="G71">
        <f t="shared" si="5"/>
        <v>-5.3938442932118857E-6</v>
      </c>
      <c r="H71">
        <f t="shared" si="2"/>
        <v>1.0227968970945148E-5</v>
      </c>
      <c r="I71">
        <f t="shared" si="6"/>
        <v>-5.0696331375647592E-6</v>
      </c>
      <c r="J71">
        <f t="shared" si="14"/>
        <v>-1.7178451886638185E-4</v>
      </c>
      <c r="K71">
        <f t="shared" si="3"/>
        <v>-3.2129870129869731E-4</v>
      </c>
      <c r="L71">
        <f t="shared" si="7"/>
        <v>-1.4951418243231546E-4</v>
      </c>
      <c r="M71">
        <f t="shared" si="8"/>
        <v>-3.3225373873847879</v>
      </c>
      <c r="O71">
        <v>1.03E-2</v>
      </c>
      <c r="P71">
        <f t="shared" si="4"/>
        <v>-2.1792207792207738E-4</v>
      </c>
      <c r="Q71">
        <f t="shared" si="9"/>
        <v>1.0111759201022946E-5</v>
      </c>
      <c r="R71">
        <f t="shared" si="10"/>
        <v>-5.0120321708254235E-6</v>
      </c>
      <c r="S71">
        <f t="shared" si="11"/>
        <v>-1.6790307772265167E-4</v>
      </c>
      <c r="T71">
        <f t="shared" si="12"/>
        <v>-5.0019000199425705E-5</v>
      </c>
      <c r="U71">
        <f t="shared" si="13"/>
        <v>-3.7908159178893743E-5</v>
      </c>
    </row>
    <row r="72" spans="2:21" x14ac:dyDescent="0.25">
      <c r="B72">
        <v>253</v>
      </c>
      <c r="C72">
        <v>4.4999999999999997E-3</v>
      </c>
      <c r="D72">
        <v>8.6E-3</v>
      </c>
      <c r="E72">
        <f t="shared" si="0"/>
        <v>8.177782499591373E-6</v>
      </c>
      <c r="F72">
        <f t="shared" si="1"/>
        <v>-1.2264069264069938E-4</v>
      </c>
      <c r="G72">
        <f t="shared" si="5"/>
        <v>-3.4017722356790023E-6</v>
      </c>
      <c r="H72">
        <f t="shared" si="2"/>
        <v>7.6862354376637552E-6</v>
      </c>
      <c r="I72">
        <f t="shared" si="6"/>
        <v>-3.1972997949068845E-6</v>
      </c>
      <c r="J72">
        <f t="shared" si="14"/>
        <v>-1.0834050355041977E-4</v>
      </c>
      <c r="K72">
        <f t="shared" si="3"/>
        <v>-1.4623376623376302E-4</v>
      </c>
      <c r="L72">
        <f t="shared" si="7"/>
        <v>-3.7893262683343256E-5</v>
      </c>
      <c r="M72">
        <f t="shared" si="8"/>
        <v>-0.84207250407429446</v>
      </c>
      <c r="O72">
        <v>1.0500000000000001E-2</v>
      </c>
      <c r="P72">
        <f t="shared" si="4"/>
        <v>5.1688311688313435E-5</v>
      </c>
      <c r="Q72">
        <f t="shared" si="9"/>
        <v>7.5989047413821986E-6</v>
      </c>
      <c r="R72">
        <f t="shared" si="10"/>
        <v>-3.1609722039067619E-6</v>
      </c>
      <c r="S72">
        <f t="shared" si="11"/>
        <v>-1.0589256883087652E-4</v>
      </c>
      <c r="T72">
        <f t="shared" si="12"/>
        <v>1.5758088051918994E-4</v>
      </c>
      <c r="U72">
        <f t="shared" si="13"/>
        <v>1.606502835192363E-4</v>
      </c>
    </row>
    <row r="73" spans="2:21" x14ac:dyDescent="0.25">
      <c r="B73">
        <v>254</v>
      </c>
      <c r="C73">
        <v>4.5999999999999999E-3</v>
      </c>
      <c r="D73">
        <v>8.5000000000000006E-3</v>
      </c>
      <c r="E73">
        <f t="shared" ref="E73:E136" si="15">(1.1500276+0.0284*$C$4)*EXP((-0.3101349+0.001222*$C$4)*($B73-210))*$C$5/35</f>
        <v>6.145536990620851E-6</v>
      </c>
      <c r="F73">
        <f t="shared" ref="F73:F136" si="16">C73-($F$5*B73+$F$4)</f>
        <v>1.4917748917748358E-4</v>
      </c>
      <c r="G73">
        <f t="shared" si="5"/>
        <v>4.1378422605537444E-6</v>
      </c>
      <c r="H73">
        <f t="shared" ref="H73:H136" si="17">(1.1500276+0.0284*$D$4)*EXP((-0.3101349+0.001222*$D$4)*($B73-210))*$D$5/35</f>
        <v>5.7761433742146759E-6</v>
      </c>
      <c r="I73">
        <f t="shared" si="6"/>
        <v>3.889126400722945E-6</v>
      </c>
      <c r="J73">
        <f t="shared" si="14"/>
        <v>1.3178304808849698E-4</v>
      </c>
      <c r="K73">
        <f t="shared" ref="K73:K136" si="18">D73-($K$5*B73+$K$4)</f>
        <v>2.8831168831171261E-5</v>
      </c>
      <c r="L73">
        <f t="shared" si="7"/>
        <v>-1.0295187925732572E-4</v>
      </c>
      <c r="M73">
        <f t="shared" si="8"/>
        <v>-2.2878195390516827</v>
      </c>
      <c r="O73">
        <v>1.0500000000000001E-2</v>
      </c>
      <c r="P73">
        <f t="shared" ref="P73:P136" si="19">O73-($O$5*B73+$O$4)</f>
        <v>1.2129870129870025E-4</v>
      </c>
      <c r="Q73">
        <f t="shared" ref="Q73:Q136" si="20">(1.1500276+0.0284*$O$2)*EXP((-0.3101349+0.001222*$O$2)*($B73-210))*$O$3/35</f>
        <v>5.7105150667313469E-6</v>
      </c>
      <c r="R73">
        <f t="shared" si="10"/>
        <v>3.8449383037986919E-6</v>
      </c>
      <c r="S73">
        <f t="shared" ref="S73:S136" si="21">R73*$O$3</f>
        <v>1.2880543317725617E-4</v>
      </c>
      <c r="T73">
        <f t="shared" si="12"/>
        <v>-7.5067318785559207E-6</v>
      </c>
      <c r="U73">
        <f t="shared" si="13"/>
        <v>8.3250271555966757E-7</v>
      </c>
    </row>
    <row r="74" spans="2:21" x14ac:dyDescent="0.25">
      <c r="B74">
        <v>255</v>
      </c>
      <c r="C74">
        <v>4.4000000000000003E-3</v>
      </c>
      <c r="D74">
        <v>8.3000000000000001E-3</v>
      </c>
      <c r="E74">
        <f t="shared" si="15"/>
        <v>4.6183210307899833E-6</v>
      </c>
      <c r="F74">
        <f t="shared" si="16"/>
        <v>1.2099567099566663E-4</v>
      </c>
      <c r="G74">
        <f t="shared" ref="G74:G137" si="22">F74/$C$5</f>
        <v>3.3561430987370082E-6</v>
      </c>
      <c r="H74">
        <f t="shared" si="17"/>
        <v>4.3407247345034551E-6</v>
      </c>
      <c r="I74">
        <f t="shared" ref="I74:I137" si="23">$G74/$E74*H74</f>
        <v>3.1544133168951379E-6</v>
      </c>
      <c r="J74">
        <f t="shared" ref="J74:J137" si="24">I74*$D$5</f>
        <v>1.0688729524299174E-4</v>
      </c>
      <c r="K74">
        <f t="shared" si="18"/>
        <v>1.0389610389610442E-4</v>
      </c>
      <c r="L74">
        <f t="shared" ref="L74:L137" si="25">K74-J74</f>
        <v>-2.9911913468873221E-6</v>
      </c>
      <c r="M74">
        <f t="shared" ref="M74:M137" si="26">L74/($D$6/1000000)</f>
        <v>-6.6470918819718269E-2</v>
      </c>
      <c r="O74">
        <v>1.0500000000000001E-2</v>
      </c>
      <c r="P74">
        <f t="shared" si="19"/>
        <v>1.9090909090909054E-4</v>
      </c>
      <c r="Q74">
        <f t="shared" si="20"/>
        <v>4.2914055955693012E-6</v>
      </c>
      <c r="R74">
        <f t="shared" ref="R74:R137" si="27">$G74/$E74*Q74</f>
        <v>3.1185730003242476E-6</v>
      </c>
      <c r="S74">
        <f t="shared" si="21"/>
        <v>1.044721955108623E-4</v>
      </c>
      <c r="T74">
        <f t="shared" ref="T74:T137" si="28">P74-S74</f>
        <v>8.6436895398228243E-5</v>
      </c>
      <c r="U74">
        <f t="shared" ref="U74:U137" si="29">T74-$T$5/1000000*M74</f>
        <v>8.6679185743363508E-5</v>
      </c>
    </row>
    <row r="75" spans="2:21" x14ac:dyDescent="0.25">
      <c r="B75">
        <v>256</v>
      </c>
      <c r="C75">
        <v>4.0000000000000001E-3</v>
      </c>
      <c r="D75">
        <v>8.0000000000000002E-3</v>
      </c>
      <c r="E75">
        <f t="shared" si="15"/>
        <v>3.4706306667730831E-6</v>
      </c>
      <c r="F75">
        <f t="shared" si="16"/>
        <v>-1.0718614718615085E-4</v>
      </c>
      <c r="G75">
        <f t="shared" si="22"/>
        <v>-2.9730985017793981E-6</v>
      </c>
      <c r="H75">
        <f t="shared" si="17"/>
        <v>3.2620193094309864E-6</v>
      </c>
      <c r="I75">
        <f t="shared" si="23"/>
        <v>-2.7943926199044409E-6</v>
      </c>
      <c r="J75">
        <f t="shared" si="24"/>
        <v>-9.4687993925461977E-5</v>
      </c>
      <c r="K75">
        <f t="shared" si="18"/>
        <v>7.8961038961038177E-5</v>
      </c>
      <c r="L75">
        <f t="shared" si="25"/>
        <v>1.7364903288650017E-4</v>
      </c>
      <c r="M75">
        <f t="shared" si="26"/>
        <v>3.8588673974777814</v>
      </c>
      <c r="O75">
        <v>1.03E-2</v>
      </c>
      <c r="P75">
        <f t="shared" si="19"/>
        <v>6.0519480519480306E-5</v>
      </c>
      <c r="Q75">
        <f t="shared" si="20"/>
        <v>3.2249563779235074E-6</v>
      </c>
      <c r="R75">
        <f t="shared" si="27"/>
        <v>-2.7626428439368092E-6</v>
      </c>
      <c r="S75">
        <f t="shared" si="21"/>
        <v>-9.2548535271883115E-5</v>
      </c>
      <c r="T75">
        <f t="shared" si="28"/>
        <v>1.5306801579136341E-4</v>
      </c>
      <c r="U75">
        <f t="shared" si="29"/>
        <v>1.3900222085174577E-4</v>
      </c>
    </row>
    <row r="76" spans="2:21" x14ac:dyDescent="0.25">
      <c r="B76">
        <v>257</v>
      </c>
      <c r="C76">
        <v>3.8999999999999998E-3</v>
      </c>
      <c r="D76">
        <v>8.0999999999999996E-3</v>
      </c>
      <c r="E76">
        <f t="shared" si="15"/>
        <v>2.6081506991048994E-6</v>
      </c>
      <c r="F76">
        <f t="shared" si="16"/>
        <v>-3.5367965367968414E-5</v>
      </c>
      <c r="G76">
        <f t="shared" si="22"/>
        <v>-9.8102644424632227E-7</v>
      </c>
      <c r="H76">
        <f t="shared" si="17"/>
        <v>2.4513809619208233E-6</v>
      </c>
      <c r="I76">
        <f t="shared" si="23"/>
        <v>-9.220592772463839E-7</v>
      </c>
      <c r="J76">
        <f t="shared" si="24"/>
        <v>-3.1243978609493719E-5</v>
      </c>
      <c r="K76">
        <f t="shared" si="18"/>
        <v>4.5402597402597125E-4</v>
      </c>
      <c r="L76">
        <f t="shared" si="25"/>
        <v>4.8526995263546496E-4</v>
      </c>
      <c r="M76">
        <f t="shared" si="26"/>
        <v>10.783776725232554</v>
      </c>
      <c r="O76">
        <v>1.03E-2</v>
      </c>
      <c r="P76">
        <f t="shared" si="19"/>
        <v>1.301298701298706E-4</v>
      </c>
      <c r="Q76">
        <f t="shared" si="20"/>
        <v>2.4235284705429412E-6</v>
      </c>
      <c r="R76">
        <f t="shared" si="27"/>
        <v>-9.1158287701796824E-7</v>
      </c>
      <c r="S76">
        <f t="shared" si="21"/>
        <v>-3.0538026380101938E-5</v>
      </c>
      <c r="T76">
        <f t="shared" si="28"/>
        <v>1.6066789650997254E-4</v>
      </c>
      <c r="U76">
        <f t="shared" si="29"/>
        <v>1.2136040639230626E-4</v>
      </c>
    </row>
    <row r="77" spans="2:21" x14ac:dyDescent="0.25">
      <c r="B77">
        <v>258</v>
      </c>
      <c r="C77">
        <v>3.8E-3</v>
      </c>
      <c r="D77">
        <v>7.7000000000000002E-3</v>
      </c>
      <c r="E77">
        <f t="shared" si="15"/>
        <v>1.9600040230054661E-6</v>
      </c>
      <c r="F77">
        <f t="shared" si="16"/>
        <v>3.645021645021446E-5</v>
      </c>
      <c r="G77">
        <f t="shared" si="22"/>
        <v>1.0110456132867652E-6</v>
      </c>
      <c r="H77">
        <f t="shared" si="17"/>
        <v>1.8421928414384841E-6</v>
      </c>
      <c r="I77">
        <f t="shared" si="23"/>
        <v>9.5027406541168435E-7</v>
      </c>
      <c r="J77">
        <f t="shared" si="24"/>
        <v>3.2200036706474919E-5</v>
      </c>
      <c r="K77">
        <f t="shared" si="18"/>
        <v>3.2909090909090562E-4</v>
      </c>
      <c r="L77">
        <f t="shared" si="25"/>
        <v>2.9689087238443071E-4</v>
      </c>
      <c r="M77">
        <f t="shared" si="26"/>
        <v>6.5975749418762373</v>
      </c>
      <c r="O77">
        <v>1.0200000000000001E-2</v>
      </c>
      <c r="P77">
        <f t="shared" si="19"/>
        <v>9.9740259740261489E-5</v>
      </c>
      <c r="Q77">
        <f t="shared" si="20"/>
        <v>1.8212619208555176E-6</v>
      </c>
      <c r="R77">
        <f t="shared" si="27"/>
        <v>9.3947708990088325E-7</v>
      </c>
      <c r="S77">
        <f t="shared" si="21"/>
        <v>3.1472482511679591E-5</v>
      </c>
      <c r="T77">
        <f t="shared" si="28"/>
        <v>6.8267777228581898E-5</v>
      </c>
      <c r="U77">
        <f t="shared" si="29"/>
        <v>4.4219234826775976E-5</v>
      </c>
    </row>
    <row r="78" spans="2:21" x14ac:dyDescent="0.25">
      <c r="B78">
        <v>259</v>
      </c>
      <c r="C78">
        <v>3.7000000000000002E-3</v>
      </c>
      <c r="D78">
        <v>7.4999999999999997E-3</v>
      </c>
      <c r="E78">
        <f t="shared" si="15"/>
        <v>1.4729270710914177E-6</v>
      </c>
      <c r="F78">
        <f t="shared" si="16"/>
        <v>1.0826839826839733E-4</v>
      </c>
      <c r="G78">
        <f t="shared" si="22"/>
        <v>3.003117670819853E-6</v>
      </c>
      <c r="H78">
        <f t="shared" si="17"/>
        <v>1.3843929269924744E-6</v>
      </c>
      <c r="I78">
        <f t="shared" si="23"/>
        <v>2.8226074080697528E-6</v>
      </c>
      <c r="J78">
        <f t="shared" si="24"/>
        <v>9.5644052022443571E-5</v>
      </c>
      <c r="K78">
        <f t="shared" si="18"/>
        <v>4.0415584415583877E-4</v>
      </c>
      <c r="L78">
        <f t="shared" si="25"/>
        <v>3.085117921333952E-4</v>
      </c>
      <c r="M78">
        <f t="shared" si="26"/>
        <v>6.8558176029643372</v>
      </c>
      <c r="O78">
        <v>0.01</v>
      </c>
      <c r="P78">
        <f t="shared" si="19"/>
        <v>-3.0649350649352217E-5</v>
      </c>
      <c r="Q78">
        <f t="shared" si="20"/>
        <v>1.368663510528195E-6</v>
      </c>
      <c r="R78">
        <f t="shared" si="27"/>
        <v>2.7905370568197347E-6</v>
      </c>
      <c r="S78">
        <f t="shared" si="21"/>
        <v>9.3482991403461113E-5</v>
      </c>
      <c r="T78">
        <f t="shared" si="28"/>
        <v>-1.2413234205281332E-4</v>
      </c>
      <c r="U78">
        <f t="shared" si="29"/>
        <v>-1.4912219389632241E-4</v>
      </c>
    </row>
    <row r="79" spans="2:21" x14ac:dyDescent="0.25">
      <c r="B79">
        <v>260</v>
      </c>
      <c r="C79">
        <v>3.8E-3</v>
      </c>
      <c r="D79">
        <v>7.7000000000000002E-3</v>
      </c>
      <c r="E79">
        <f t="shared" si="15"/>
        <v>1.1068927059788425E-6</v>
      </c>
      <c r="F79">
        <f t="shared" si="16"/>
        <v>3.8008658008657293E-4</v>
      </c>
      <c r="G79">
        <f t="shared" si="22"/>
        <v>1.0542732167052394E-5</v>
      </c>
      <c r="H79">
        <f t="shared" si="17"/>
        <v>1.0403600172554388E-6</v>
      </c>
      <c r="I79">
        <f t="shared" si="23"/>
        <v>9.9090336036993887E-6</v>
      </c>
      <c r="J79">
        <f t="shared" si="24"/>
        <v>3.3576760366135376E-4</v>
      </c>
      <c r="K79">
        <f t="shared" si="18"/>
        <v>8.7922077922077298E-4</v>
      </c>
      <c r="L79">
        <f t="shared" si="25"/>
        <v>5.4345317555941916E-4</v>
      </c>
      <c r="M79">
        <f t="shared" si="26"/>
        <v>12.076737234653759</v>
      </c>
      <c r="O79">
        <v>1.0200000000000001E-2</v>
      </c>
      <c r="P79">
        <f t="shared" si="19"/>
        <v>2.389610389610386E-4</v>
      </c>
      <c r="Q79">
        <f t="shared" si="20"/>
        <v>1.0285394888020422E-6</v>
      </c>
      <c r="R79">
        <f t="shared" si="27"/>
        <v>9.7964475645249979E-6</v>
      </c>
      <c r="S79">
        <f t="shared" si="21"/>
        <v>3.2818099341158744E-4</v>
      </c>
      <c r="T79">
        <f t="shared" si="28"/>
        <v>-8.9219954450548843E-5</v>
      </c>
      <c r="U79">
        <f t="shared" si="29"/>
        <v>-1.3324036043633466E-4</v>
      </c>
    </row>
    <row r="80" spans="2:21" x14ac:dyDescent="0.25">
      <c r="B80">
        <v>261</v>
      </c>
      <c r="C80">
        <v>3.5999999999999999E-3</v>
      </c>
      <c r="D80">
        <v>7.6E-3</v>
      </c>
      <c r="E80">
        <f t="shared" si="15"/>
        <v>8.3182085969898184E-7</v>
      </c>
      <c r="F80">
        <f t="shared" si="16"/>
        <v>3.5190476190475554E-4</v>
      </c>
      <c r="G80">
        <f t="shared" si="22"/>
        <v>9.7610330052356467E-6</v>
      </c>
      <c r="H80">
        <f t="shared" si="17"/>
        <v>7.8182208562354377E-7</v>
      </c>
      <c r="I80">
        <f t="shared" si="23"/>
        <v>9.1743205198715715E-6</v>
      </c>
      <c r="J80">
        <f t="shared" si="24"/>
        <v>3.1087185081584817E-4</v>
      </c>
      <c r="K80">
        <f t="shared" si="18"/>
        <v>1.0542857142857064E-3</v>
      </c>
      <c r="L80">
        <f t="shared" si="25"/>
        <v>7.4341386346985817E-4</v>
      </c>
      <c r="M80">
        <f t="shared" si="26"/>
        <v>16.520308077107959</v>
      </c>
      <c r="O80">
        <v>1.01E-2</v>
      </c>
      <c r="P80">
        <f t="shared" si="19"/>
        <v>2.0857142857142776E-4</v>
      </c>
      <c r="Q80">
        <f t="shared" si="20"/>
        <v>7.7293905469643551E-7</v>
      </c>
      <c r="R80">
        <f t="shared" si="27"/>
        <v>9.0700822610505422E-6</v>
      </c>
      <c r="S80">
        <f t="shared" si="21"/>
        <v>3.0384775574519314E-4</v>
      </c>
      <c r="T80">
        <f t="shared" si="28"/>
        <v>-9.5276327173765389E-5</v>
      </c>
      <c r="U80">
        <f t="shared" si="29"/>
        <v>-1.5549380598731339E-4</v>
      </c>
    </row>
    <row r="81" spans="2:21" x14ac:dyDescent="0.25">
      <c r="B81">
        <v>262</v>
      </c>
      <c r="C81">
        <v>3.5999999999999999E-3</v>
      </c>
      <c r="D81">
        <v>7.4999999999999997E-3</v>
      </c>
      <c r="E81">
        <f t="shared" si="15"/>
        <v>6.2510660599075071E-7</v>
      </c>
      <c r="F81">
        <f t="shared" si="16"/>
        <v>5.2372294372293824E-4</v>
      </c>
      <c r="G81">
        <f t="shared" si="22"/>
        <v>1.4526876282118557E-5</v>
      </c>
      <c r="H81">
        <f t="shared" si="17"/>
        <v>5.8753293420605212E-7</v>
      </c>
      <c r="I81">
        <f t="shared" si="23"/>
        <v>1.3653700289015517E-5</v>
      </c>
      <c r="J81">
        <f t="shared" si="24"/>
        <v>4.6265563429329076E-4</v>
      </c>
      <c r="K81">
        <f t="shared" si="18"/>
        <v>1.2293506493506537E-3</v>
      </c>
      <c r="L81">
        <f t="shared" si="25"/>
        <v>7.6669501505736287E-4</v>
      </c>
      <c r="M81">
        <f t="shared" si="26"/>
        <v>17.03766700127473</v>
      </c>
      <c r="O81">
        <v>1.01E-2</v>
      </c>
      <c r="P81">
        <f t="shared" si="19"/>
        <v>2.7818181818181804E-4</v>
      </c>
      <c r="Q81">
        <f t="shared" si="20"/>
        <v>5.8085740876207014E-7</v>
      </c>
      <c r="R81">
        <f t="shared" si="27"/>
        <v>1.3498567498362693E-5</v>
      </c>
      <c r="S81">
        <f t="shared" si="21"/>
        <v>4.5220201119515024E-4</v>
      </c>
      <c r="T81">
        <f t="shared" si="28"/>
        <v>-1.740201930133322E-4</v>
      </c>
      <c r="U81">
        <f t="shared" si="29"/>
        <v>-2.3612347504008919E-4</v>
      </c>
    </row>
    <row r="82" spans="2:21" x14ac:dyDescent="0.25">
      <c r="B82">
        <v>263</v>
      </c>
      <c r="C82">
        <v>3.5000000000000001E-3</v>
      </c>
      <c r="D82">
        <v>7.4000000000000003E-3</v>
      </c>
      <c r="E82">
        <f t="shared" si="15"/>
        <v>4.6976252674726549E-7</v>
      </c>
      <c r="F82">
        <f t="shared" si="16"/>
        <v>5.9554112554112111E-4</v>
      </c>
      <c r="G82">
        <f t="shared" si="22"/>
        <v>1.6518948339651647E-5</v>
      </c>
      <c r="H82">
        <f t="shared" si="17"/>
        <v>4.4152621820789662E-7</v>
      </c>
      <c r="I82">
        <f t="shared" si="23"/>
        <v>1.5526033631673581E-5</v>
      </c>
      <c r="J82">
        <f t="shared" si="24"/>
        <v>5.2609964960925921E-4</v>
      </c>
      <c r="K82">
        <f t="shared" si="18"/>
        <v>1.404415584415588E-3</v>
      </c>
      <c r="L82">
        <f t="shared" si="25"/>
        <v>8.7831593480632876E-4</v>
      </c>
      <c r="M82">
        <f t="shared" si="26"/>
        <v>19.518131884585081</v>
      </c>
      <c r="O82">
        <v>1.01E-2</v>
      </c>
      <c r="P82">
        <f t="shared" si="19"/>
        <v>3.4779220779220833E-4</v>
      </c>
      <c r="Q82">
        <f t="shared" si="20"/>
        <v>4.3650961516790725E-7</v>
      </c>
      <c r="R82">
        <f t="shared" si="27"/>
        <v>1.5349627465281541E-5</v>
      </c>
      <c r="S82">
        <f t="shared" si="21"/>
        <v>5.1421252008693164E-4</v>
      </c>
      <c r="T82">
        <f t="shared" si="28"/>
        <v>-1.6642031229472331E-4</v>
      </c>
      <c r="U82">
        <f t="shared" si="29"/>
        <v>-2.3756503234196539E-4</v>
      </c>
    </row>
    <row r="83" spans="2:21" x14ac:dyDescent="0.25">
      <c r="B83">
        <v>264</v>
      </c>
      <c r="C83">
        <v>3.5999999999999999E-3</v>
      </c>
      <c r="D83">
        <v>7.4000000000000003E-3</v>
      </c>
      <c r="E83">
        <f t="shared" si="15"/>
        <v>3.5302271551940777E-7</v>
      </c>
      <c r="F83">
        <f t="shared" si="16"/>
        <v>8.6735930735930365E-4</v>
      </c>
      <c r="G83">
        <f t="shared" si="22"/>
        <v>2.4058562835884381E-5</v>
      </c>
      <c r="H83">
        <f t="shared" si="17"/>
        <v>3.3180335946341766E-7</v>
      </c>
      <c r="I83">
        <f t="shared" si="23"/>
        <v>2.2612459827303404E-5</v>
      </c>
      <c r="J83">
        <f t="shared" si="24"/>
        <v>7.662232012481758E-4</v>
      </c>
      <c r="K83">
        <f t="shared" si="18"/>
        <v>1.6794805194805217E-3</v>
      </c>
      <c r="L83">
        <f t="shared" si="25"/>
        <v>9.1325731823234586E-4</v>
      </c>
      <c r="M83">
        <f t="shared" si="26"/>
        <v>20.294607071829908</v>
      </c>
      <c r="O83">
        <v>9.9000000000000008E-3</v>
      </c>
      <c r="P83">
        <f t="shared" si="19"/>
        <v>2.1740259740259636E-4</v>
      </c>
      <c r="Q83">
        <f t="shared" si="20"/>
        <v>3.2803342310829251E-7</v>
      </c>
      <c r="R83">
        <f t="shared" si="27"/>
        <v>2.2355537972986988E-5</v>
      </c>
      <c r="S83">
        <f t="shared" si="21"/>
        <v>7.4891052209506411E-4</v>
      </c>
      <c r="T83">
        <f t="shared" si="28"/>
        <v>-5.3150792469246774E-4</v>
      </c>
      <c r="U83">
        <f t="shared" si="29"/>
        <v>-6.0548294172442236E-4</v>
      </c>
    </row>
    <row r="84" spans="2:21" x14ac:dyDescent="0.25">
      <c r="B84">
        <v>265</v>
      </c>
      <c r="C84">
        <v>3.3999999999999998E-3</v>
      </c>
      <c r="D84">
        <v>7.1999999999999998E-3</v>
      </c>
      <c r="E84">
        <f t="shared" si="15"/>
        <v>2.652936975105836E-7</v>
      </c>
      <c r="F84">
        <f t="shared" si="16"/>
        <v>8.3917748917748626E-4</v>
      </c>
      <c r="G84">
        <f t="shared" si="22"/>
        <v>2.3276863674067633E-5</v>
      </c>
      <c r="H84">
        <f t="shared" si="17"/>
        <v>2.4934752413586277E-7</v>
      </c>
      <c r="I84">
        <f t="shared" si="23"/>
        <v>2.1877746743475581E-5</v>
      </c>
      <c r="J84">
        <f t="shared" si="24"/>
        <v>7.4132744840266999E-4</v>
      </c>
      <c r="K84">
        <f t="shared" si="18"/>
        <v>1.7545454545454548E-3</v>
      </c>
      <c r="L84">
        <f t="shared" si="25"/>
        <v>1.0132180061427848E-3</v>
      </c>
      <c r="M84">
        <f t="shared" si="26"/>
        <v>22.515955692061883</v>
      </c>
      <c r="O84">
        <v>0.01</v>
      </c>
      <c r="P84">
        <f t="shared" si="19"/>
        <v>3.8701298701298605E-4</v>
      </c>
      <c r="Q84">
        <f t="shared" si="20"/>
        <v>2.4651444764796828E-7</v>
      </c>
      <c r="R84">
        <f t="shared" si="27"/>
        <v>2.1629172669512534E-5</v>
      </c>
      <c r="S84">
        <f t="shared" si="21"/>
        <v>7.2457728442866986E-4</v>
      </c>
      <c r="T84">
        <f t="shared" si="28"/>
        <v>-3.3756429741568382E-4</v>
      </c>
      <c r="U84">
        <f t="shared" si="29"/>
        <v>-4.1963625869661885E-4</v>
      </c>
    </row>
    <row r="85" spans="2:21" x14ac:dyDescent="0.25">
      <c r="B85">
        <v>266</v>
      </c>
      <c r="C85">
        <v>3.2000000000000002E-3</v>
      </c>
      <c r="D85">
        <v>7.0000000000000001E-3</v>
      </c>
      <c r="E85">
        <f t="shared" si="15"/>
        <v>1.9936605449109662E-7</v>
      </c>
      <c r="F85">
        <f t="shared" si="16"/>
        <v>8.109956709956693E-4</v>
      </c>
      <c r="G85">
        <f t="shared" si="22"/>
        <v>2.2495164512250896E-5</v>
      </c>
      <c r="H85">
        <f t="shared" si="17"/>
        <v>1.8738263498365719E-7</v>
      </c>
      <c r="I85">
        <f t="shared" si="23"/>
        <v>2.1143033659647776E-5</v>
      </c>
      <c r="J85">
        <f t="shared" si="24"/>
        <v>7.1643169555716483E-4</v>
      </c>
      <c r="K85">
        <f t="shared" si="18"/>
        <v>1.8296103896103888E-3</v>
      </c>
      <c r="L85">
        <f t="shared" si="25"/>
        <v>1.113178694053224E-3</v>
      </c>
      <c r="M85">
        <f t="shared" si="26"/>
        <v>24.737304312293865</v>
      </c>
      <c r="O85">
        <v>9.7999999999999997E-3</v>
      </c>
      <c r="P85">
        <f t="shared" si="19"/>
        <v>2.5662337662337581E-4</v>
      </c>
      <c r="Q85">
        <f t="shared" si="20"/>
        <v>1.8525360106101568E-7</v>
      </c>
      <c r="R85">
        <f t="shared" si="27"/>
        <v>2.0902807366038087E-5</v>
      </c>
      <c r="S85">
        <f t="shared" si="21"/>
        <v>7.0024404676227595E-4</v>
      </c>
      <c r="T85">
        <f t="shared" si="28"/>
        <v>-4.4362067013890014E-4</v>
      </c>
      <c r="U85">
        <f t="shared" si="29"/>
        <v>-5.3378957566881558E-4</v>
      </c>
    </row>
    <row r="86" spans="2:21" x14ac:dyDescent="0.25">
      <c r="B86">
        <v>267</v>
      </c>
      <c r="C86">
        <v>3.3E-3</v>
      </c>
      <c r="D86">
        <v>7.1000000000000004E-3</v>
      </c>
      <c r="E86">
        <f t="shared" si="15"/>
        <v>1.4982196733776981E-7</v>
      </c>
      <c r="F86">
        <f t="shared" si="16"/>
        <v>1.0828138528138518E-3</v>
      </c>
      <c r="G86">
        <f t="shared" si="22"/>
        <v>3.003477900848363E-5</v>
      </c>
      <c r="H86">
        <f t="shared" si="17"/>
        <v>1.4081652510929574E-7</v>
      </c>
      <c r="I86">
        <f t="shared" si="23"/>
        <v>2.8229459855277592E-5</v>
      </c>
      <c r="J86">
        <f t="shared" si="24"/>
        <v>9.565552471960812E-4</v>
      </c>
      <c r="K86">
        <f t="shared" si="18"/>
        <v>2.2046753246753228E-3</v>
      </c>
      <c r="L86">
        <f t="shared" si="25"/>
        <v>1.2481200774792415E-3</v>
      </c>
      <c r="M86">
        <f t="shared" si="26"/>
        <v>27.736001721760921</v>
      </c>
      <c r="O86">
        <v>9.7000000000000003E-3</v>
      </c>
      <c r="P86">
        <f t="shared" si="19"/>
        <v>2.262337662337667E-4</v>
      </c>
      <c r="Q86">
        <f t="shared" si="20"/>
        <v>1.3921657344433843E-7</v>
      </c>
      <c r="R86">
        <f t="shared" si="27"/>
        <v>2.7908717873743527E-5</v>
      </c>
      <c r="S86">
        <f t="shared" si="21"/>
        <v>9.349420487704082E-4</v>
      </c>
      <c r="T86">
        <f t="shared" si="28"/>
        <v>-7.0870828253664149E-4</v>
      </c>
      <c r="U86">
        <f t="shared" si="29"/>
        <v>-8.0980761363005124E-4</v>
      </c>
    </row>
    <row r="87" spans="2:21" x14ac:dyDescent="0.25">
      <c r="B87">
        <v>268</v>
      </c>
      <c r="C87">
        <v>3.3999999999999998E-3</v>
      </c>
      <c r="D87">
        <v>7.0000000000000001E-3</v>
      </c>
      <c r="E87">
        <f t="shared" si="15"/>
        <v>1.1258998907440499E-7</v>
      </c>
      <c r="F87">
        <f t="shared" si="16"/>
        <v>1.3546320346320274E-3</v>
      </c>
      <c r="G87">
        <f t="shared" si="22"/>
        <v>3.7574393504716174E-5</v>
      </c>
      <c r="H87">
        <f t="shared" si="17"/>
        <v>1.0582247253373498E-7</v>
      </c>
      <c r="I87">
        <f t="shared" si="23"/>
        <v>3.5315886050907236E-5</v>
      </c>
      <c r="J87">
        <f t="shared" si="24"/>
        <v>1.1966787988349917E-3</v>
      </c>
      <c r="K87">
        <f t="shared" si="18"/>
        <v>2.3797402597402562E-3</v>
      </c>
      <c r="L87">
        <f t="shared" si="25"/>
        <v>1.1830614609052645E-3</v>
      </c>
      <c r="M87">
        <f t="shared" si="26"/>
        <v>26.290254686783655</v>
      </c>
      <c r="O87">
        <v>9.7000000000000003E-3</v>
      </c>
      <c r="P87">
        <f t="shared" si="19"/>
        <v>2.9584415584415699E-4</v>
      </c>
      <c r="Q87">
        <f t="shared" si="20"/>
        <v>1.0462012187930122E-7</v>
      </c>
      <c r="R87">
        <f t="shared" si="27"/>
        <v>3.4914628381448795E-5</v>
      </c>
      <c r="S87">
        <f t="shared" si="21"/>
        <v>1.1696400507785346E-3</v>
      </c>
      <c r="T87">
        <f t="shared" si="28"/>
        <v>-8.737958949343776E-4</v>
      </c>
      <c r="U87">
        <f t="shared" si="29"/>
        <v>-9.6962539443371854E-4</v>
      </c>
    </row>
    <row r="88" spans="2:21" x14ac:dyDescent="0.25">
      <c r="B88">
        <v>269</v>
      </c>
      <c r="C88">
        <v>3.0999999999999999E-3</v>
      </c>
      <c r="D88">
        <v>7.0000000000000001E-3</v>
      </c>
      <c r="E88">
        <f t="shared" si="15"/>
        <v>8.4610460435323083E-8</v>
      </c>
      <c r="F88">
        <f t="shared" si="16"/>
        <v>1.2264502164502102E-3</v>
      </c>
      <c r="G88">
        <f t="shared" si="22"/>
        <v>3.4018923123549598E-5</v>
      </c>
      <c r="H88">
        <f t="shared" si="17"/>
        <v>7.952472683487525E-8</v>
      </c>
      <c r="I88">
        <f t="shared" si="23"/>
        <v>3.1974126540593531E-5</v>
      </c>
      <c r="J88">
        <f t="shared" si="24"/>
        <v>1.0834432778280118E-3</v>
      </c>
      <c r="K88">
        <f t="shared" si="18"/>
        <v>2.6548051948051899E-3</v>
      </c>
      <c r="L88">
        <f t="shared" si="25"/>
        <v>1.5713619169771781E-3</v>
      </c>
      <c r="M88">
        <f t="shared" si="26"/>
        <v>34.919153710603958</v>
      </c>
      <c r="O88">
        <v>9.5999999999999992E-3</v>
      </c>
      <c r="P88">
        <f t="shared" si="19"/>
        <v>2.6545454545454268E-4</v>
      </c>
      <c r="Q88">
        <f t="shared" si="20"/>
        <v>7.8621170103831239E-8</v>
      </c>
      <c r="R88">
        <f t="shared" si="27"/>
        <v>3.1610837807581039E-5</v>
      </c>
      <c r="S88">
        <f t="shared" si="21"/>
        <v>1.0589630665539648E-3</v>
      </c>
      <c r="T88">
        <f t="shared" si="28"/>
        <v>-7.9350852109942214E-4</v>
      </c>
      <c r="U88">
        <f t="shared" si="29"/>
        <v>-9.2079085681258431E-4</v>
      </c>
    </row>
    <row r="89" spans="2:21" x14ac:dyDescent="0.25">
      <c r="B89">
        <v>270</v>
      </c>
      <c r="C89">
        <v>3.2000000000000002E-3</v>
      </c>
      <c r="D89">
        <v>7.0000000000000001E-3</v>
      </c>
      <c r="E89">
        <f t="shared" si="15"/>
        <v>6.3584072384503028E-8</v>
      </c>
      <c r="F89">
        <f t="shared" si="16"/>
        <v>1.4982683982683932E-3</v>
      </c>
      <c r="G89">
        <f t="shared" si="22"/>
        <v>4.1558537619782349E-5</v>
      </c>
      <c r="H89">
        <f t="shared" si="17"/>
        <v>5.9762184975837259E-8</v>
      </c>
      <c r="I89">
        <f t="shared" si="23"/>
        <v>3.9060552736223364E-5</v>
      </c>
      <c r="J89">
        <f t="shared" si="24"/>
        <v>1.3235668294669287E-3</v>
      </c>
      <c r="K89">
        <f t="shared" si="18"/>
        <v>2.9298701298701236E-3</v>
      </c>
      <c r="L89">
        <f t="shared" si="25"/>
        <v>1.6063033004031948E-3</v>
      </c>
      <c r="M89">
        <f t="shared" si="26"/>
        <v>35.695628897848771</v>
      </c>
      <c r="O89">
        <v>9.4999999999999998E-3</v>
      </c>
      <c r="P89">
        <f t="shared" si="19"/>
        <v>2.3506493506493358E-4</v>
      </c>
      <c r="Q89">
        <f t="shared" si="20"/>
        <v>5.9083169446378884E-8</v>
      </c>
      <c r="R89">
        <f t="shared" si="27"/>
        <v>3.8616748315286497E-5</v>
      </c>
      <c r="S89">
        <f t="shared" si="21"/>
        <v>1.2936610685620976E-3</v>
      </c>
      <c r="T89">
        <f t="shared" si="28"/>
        <v>-1.058596133497164E-3</v>
      </c>
      <c r="U89">
        <f t="shared" si="29"/>
        <v>-1.1887087661950387E-3</v>
      </c>
    </row>
    <row r="90" spans="2:21" x14ac:dyDescent="0.25">
      <c r="B90">
        <v>271</v>
      </c>
      <c r="C90">
        <v>2.8999999999999998E-3</v>
      </c>
      <c r="D90">
        <v>6.7000000000000002E-3</v>
      </c>
      <c r="E90">
        <f t="shared" si="15"/>
        <v>4.7782912895128044E-8</v>
      </c>
      <c r="F90">
        <f t="shared" si="16"/>
        <v>1.3700865800865755E-3</v>
      </c>
      <c r="G90">
        <f t="shared" si="22"/>
        <v>3.8003067238615766E-5</v>
      </c>
      <c r="H90">
        <f t="shared" si="17"/>
        <v>4.4910795613320028E-8</v>
      </c>
      <c r="I90">
        <f t="shared" si="23"/>
        <v>3.5718793225909659E-5</v>
      </c>
      <c r="J90">
        <f t="shared" si="24"/>
        <v>1.2103313084599488E-3</v>
      </c>
      <c r="K90">
        <f t="shared" si="18"/>
        <v>2.9049350649350573E-3</v>
      </c>
      <c r="L90">
        <f t="shared" si="25"/>
        <v>1.6946037564751085E-3</v>
      </c>
      <c r="M90">
        <f t="shared" si="26"/>
        <v>37.657861255002409</v>
      </c>
      <c r="O90">
        <v>9.2999999999999992E-3</v>
      </c>
      <c r="P90">
        <f t="shared" si="19"/>
        <v>1.0467532467532334E-4</v>
      </c>
      <c r="Q90">
        <f t="shared" si="20"/>
        <v>4.440052096934399E-8</v>
      </c>
      <c r="R90">
        <f t="shared" si="27"/>
        <v>3.5312957741418735E-5</v>
      </c>
      <c r="S90">
        <f t="shared" si="21"/>
        <v>1.1829840843375276E-3</v>
      </c>
      <c r="T90">
        <f t="shared" si="28"/>
        <v>-1.0783087596622043E-3</v>
      </c>
      <c r="U90">
        <f t="shared" si="29"/>
        <v>-1.2155738428375547E-3</v>
      </c>
    </row>
    <row r="91" spans="2:21" x14ac:dyDescent="0.25">
      <c r="B91">
        <v>272</v>
      </c>
      <c r="C91">
        <v>3.3E-3</v>
      </c>
      <c r="D91">
        <v>7.1000000000000004E-3</v>
      </c>
      <c r="E91">
        <f t="shared" si="15"/>
        <v>3.5908470142278246E-8</v>
      </c>
      <c r="F91">
        <f t="shared" si="16"/>
        <v>1.9419047619047584E-3</v>
      </c>
      <c r="G91">
        <f t="shared" si="22"/>
        <v>5.3863995392897992E-5</v>
      </c>
      <c r="H91">
        <f t="shared" si="17"/>
        <v>3.3750097380758299E-8</v>
      </c>
      <c r="I91">
        <f t="shared" si="23"/>
        <v>5.062635870099712E-5</v>
      </c>
      <c r="J91">
        <f t="shared" si="24"/>
        <v>1.7154741645832874E-3</v>
      </c>
      <c r="K91">
        <f t="shared" si="18"/>
        <v>3.5800000000000051E-3</v>
      </c>
      <c r="L91">
        <f t="shared" si="25"/>
        <v>1.8645258354167177E-3</v>
      </c>
      <c r="M91">
        <f t="shared" si="26"/>
        <v>41.433907453704833</v>
      </c>
      <c r="O91">
        <v>9.4000000000000004E-3</v>
      </c>
      <c r="P91">
        <f t="shared" si="19"/>
        <v>2.7428571428571476E-4</v>
      </c>
      <c r="Q91">
        <f t="shared" si="20"/>
        <v>3.3366630138863896E-8</v>
      </c>
      <c r="R91">
        <f t="shared" si="27"/>
        <v>5.0051144060304077E-5</v>
      </c>
      <c r="S91">
        <f t="shared" si="21"/>
        <v>1.6767133260201866E-3</v>
      </c>
      <c r="T91">
        <f t="shared" si="28"/>
        <v>-1.4024276117344718E-3</v>
      </c>
      <c r="U91">
        <f t="shared" si="29"/>
        <v>-1.5534566017878317E-3</v>
      </c>
    </row>
    <row r="92" spans="2:21" x14ac:dyDescent="0.25">
      <c r="B92">
        <v>273</v>
      </c>
      <c r="C92">
        <v>3.0999999999999999E-3</v>
      </c>
      <c r="D92">
        <v>6.7999999999999996E-3</v>
      </c>
      <c r="E92">
        <f t="shared" si="15"/>
        <v>2.698492305793191E-8</v>
      </c>
      <c r="F92">
        <f t="shared" si="16"/>
        <v>1.913722943722941E-3</v>
      </c>
      <c r="G92">
        <f t="shared" si="22"/>
        <v>5.3082296231081248E-5</v>
      </c>
      <c r="H92">
        <f t="shared" si="17"/>
        <v>2.5362923494342138E-8</v>
      </c>
      <c r="I92">
        <f t="shared" si="23"/>
        <v>4.9891645617169318E-5</v>
      </c>
      <c r="J92">
        <f t="shared" si="24"/>
        <v>1.6905784117377822E-3</v>
      </c>
      <c r="K92">
        <f t="shared" si="18"/>
        <v>3.5550649350649379E-3</v>
      </c>
      <c r="L92">
        <f t="shared" si="25"/>
        <v>1.8644865233271558E-3</v>
      </c>
      <c r="M92">
        <f t="shared" si="26"/>
        <v>41.433033851714569</v>
      </c>
      <c r="O92">
        <v>9.2999999999999992E-3</v>
      </c>
      <c r="P92">
        <f t="shared" si="19"/>
        <v>2.4389610389610045E-4</v>
      </c>
      <c r="Q92">
        <f t="shared" si="20"/>
        <v>2.5074750983044463E-8</v>
      </c>
      <c r="R92">
        <f t="shared" si="27"/>
        <v>4.9324778756829629E-5</v>
      </c>
      <c r="S92">
        <f t="shared" si="21"/>
        <v>1.6523800883537925E-3</v>
      </c>
      <c r="T92">
        <f t="shared" si="28"/>
        <v>-1.4084839844576921E-3</v>
      </c>
      <c r="U92">
        <f t="shared" si="29"/>
        <v>-1.5595097901812504E-3</v>
      </c>
    </row>
    <row r="93" spans="2:21" x14ac:dyDescent="0.25">
      <c r="B93">
        <v>274</v>
      </c>
      <c r="C93">
        <v>3.2000000000000002E-3</v>
      </c>
      <c r="D93">
        <v>6.7999999999999996E-3</v>
      </c>
      <c r="E93">
        <f t="shared" si="15"/>
        <v>2.0278950051540816E-8</v>
      </c>
      <c r="F93">
        <f t="shared" si="16"/>
        <v>2.185541125541124E-3</v>
      </c>
      <c r="G93">
        <f t="shared" si="22"/>
        <v>6.0621910727313992E-5</v>
      </c>
      <c r="H93">
        <f t="shared" si="17"/>
        <v>1.9060030580729517E-8</v>
      </c>
      <c r="I93">
        <f t="shared" si="23"/>
        <v>5.6978071812799138E-5</v>
      </c>
      <c r="J93">
        <f t="shared" si="24"/>
        <v>1.9307019633766987E-3</v>
      </c>
      <c r="K93">
        <f t="shared" si="18"/>
        <v>3.8301298701298716E-3</v>
      </c>
      <c r="L93">
        <f t="shared" si="25"/>
        <v>1.899427906753173E-3</v>
      </c>
      <c r="M93">
        <f t="shared" si="26"/>
        <v>42.209509038959396</v>
      </c>
      <c r="O93">
        <v>9.2999999999999992E-3</v>
      </c>
      <c r="P93">
        <f t="shared" si="19"/>
        <v>3.1350649350649074E-4</v>
      </c>
      <c r="Q93">
        <f t="shared" si="20"/>
        <v>1.8843471283884872E-8</v>
      </c>
      <c r="R93">
        <f t="shared" si="27"/>
        <v>5.6330689264535087E-5</v>
      </c>
      <c r="S93">
        <f t="shared" si="21"/>
        <v>1.8870780903619253E-3</v>
      </c>
      <c r="T93">
        <f t="shared" si="28"/>
        <v>-1.5735715968554346E-3</v>
      </c>
      <c r="U93">
        <f t="shared" si="29"/>
        <v>-1.7274276995637055E-3</v>
      </c>
    </row>
    <row r="94" spans="2:21" x14ac:dyDescent="0.25">
      <c r="B94">
        <v>275</v>
      </c>
      <c r="C94">
        <v>3.0999999999999999E-3</v>
      </c>
      <c r="D94">
        <v>6.7000000000000002E-3</v>
      </c>
      <c r="E94">
        <f t="shared" si="15"/>
        <v>1.5239465916209428E-8</v>
      </c>
      <c r="F94">
        <f t="shared" si="16"/>
        <v>2.2573593073593064E-3</v>
      </c>
      <c r="G94">
        <f t="shared" si="22"/>
        <v>6.2613982784847066E-5</v>
      </c>
      <c r="H94">
        <f t="shared" si="17"/>
        <v>1.4323457854508945E-8</v>
      </c>
      <c r="I94">
        <f t="shared" si="23"/>
        <v>5.8850405155457192E-5</v>
      </c>
      <c r="J94">
        <f t="shared" si="24"/>
        <v>1.994145978692667E-3</v>
      </c>
      <c r="K94">
        <f t="shared" si="18"/>
        <v>4.0051948051948059E-3</v>
      </c>
      <c r="L94">
        <f t="shared" si="25"/>
        <v>2.011048826502139E-3</v>
      </c>
      <c r="M94">
        <f t="shared" si="26"/>
        <v>44.689973922269751</v>
      </c>
      <c r="O94">
        <v>8.9999999999999993E-3</v>
      </c>
      <c r="P94">
        <f t="shared" si="19"/>
        <v>8.3116883116881105E-5</v>
      </c>
      <c r="Q94">
        <f t="shared" si="20"/>
        <v>1.4160715305475865E-8</v>
      </c>
      <c r="R94">
        <f t="shared" si="27"/>
        <v>5.8181749231453921E-5</v>
      </c>
      <c r="S94">
        <f t="shared" si="21"/>
        <v>1.9490885992537064E-3</v>
      </c>
      <c r="T94">
        <f t="shared" si="28"/>
        <v>-1.8659717161368253E-3</v>
      </c>
      <c r="U94">
        <f t="shared" si="29"/>
        <v>-2.0288692568655813E-3</v>
      </c>
    </row>
    <row r="95" spans="2:21" x14ac:dyDescent="0.25">
      <c r="B95">
        <v>276</v>
      </c>
      <c r="C95">
        <v>2.8E-3</v>
      </c>
      <c r="D95">
        <v>6.4999999999999997E-3</v>
      </c>
      <c r="E95">
        <f t="shared" si="15"/>
        <v>1.1452334604160779E-8</v>
      </c>
      <c r="F95">
        <f t="shared" si="16"/>
        <v>2.1291774891774823E-3</v>
      </c>
      <c r="G95">
        <f t="shared" si="22"/>
        <v>5.90585124036803E-5</v>
      </c>
      <c r="H95">
        <f t="shared" si="17"/>
        <v>1.07639620010537E-8</v>
      </c>
      <c r="I95">
        <f t="shared" si="23"/>
        <v>5.5508645645143317E-5</v>
      </c>
      <c r="J95">
        <f t="shared" si="24"/>
        <v>1.8809104576856812E-3</v>
      </c>
      <c r="K95">
        <f t="shared" si="18"/>
        <v>4.0802597402597391E-3</v>
      </c>
      <c r="L95">
        <f t="shared" si="25"/>
        <v>2.1993492825740577E-3</v>
      </c>
      <c r="M95">
        <f t="shared" si="26"/>
        <v>48.874428501645724</v>
      </c>
      <c r="O95">
        <v>8.6999999999999994E-3</v>
      </c>
      <c r="P95">
        <f t="shared" si="19"/>
        <v>-1.4727272727272853E-4</v>
      </c>
      <c r="Q95">
        <f t="shared" si="20"/>
        <v>1.0641662299994068E-8</v>
      </c>
      <c r="R95">
        <f t="shared" si="27"/>
        <v>5.4877958657585989E-5</v>
      </c>
      <c r="S95">
        <f t="shared" si="21"/>
        <v>1.8384116150291306E-3</v>
      </c>
      <c r="T95">
        <f t="shared" si="28"/>
        <v>-1.9856843423018593E-3</v>
      </c>
      <c r="U95">
        <f t="shared" si="29"/>
        <v>-2.1638344620868734E-3</v>
      </c>
    </row>
    <row r="96" spans="2:21" x14ac:dyDescent="0.25">
      <c r="B96">
        <v>277</v>
      </c>
      <c r="C96">
        <v>2.8999999999999998E-3</v>
      </c>
      <c r="D96">
        <v>6.4999999999999997E-3</v>
      </c>
      <c r="E96">
        <f t="shared" si="15"/>
        <v>8.6063362460855133E-9</v>
      </c>
      <c r="F96">
        <f t="shared" si="16"/>
        <v>2.4009956709956648E-3</v>
      </c>
      <c r="G96">
        <f t="shared" si="22"/>
        <v>6.6598126899913038E-5</v>
      </c>
      <c r="H96">
        <f t="shared" si="17"/>
        <v>8.0890298374183853E-9</v>
      </c>
      <c r="I96">
        <f t="shared" si="23"/>
        <v>6.2595071840773137E-5</v>
      </c>
      <c r="J96">
        <f t="shared" si="24"/>
        <v>2.1210340093245975E-3</v>
      </c>
      <c r="K96">
        <f t="shared" si="18"/>
        <v>4.3553246753246727E-3</v>
      </c>
      <c r="L96">
        <f t="shared" si="25"/>
        <v>2.2342906660000753E-3</v>
      </c>
      <c r="M96">
        <f t="shared" si="26"/>
        <v>49.650903688890558</v>
      </c>
      <c r="O96">
        <v>8.8000000000000005E-3</v>
      </c>
      <c r="P96">
        <f t="shared" si="19"/>
        <v>2.2337662337662892E-5</v>
      </c>
      <c r="Q96">
        <f t="shared" si="20"/>
        <v>7.9971226074521444E-9</v>
      </c>
      <c r="R96">
        <f t="shared" si="27"/>
        <v>6.1883869165291433E-5</v>
      </c>
      <c r="S96">
        <f t="shared" si="21"/>
        <v>2.0731096170372629E-3</v>
      </c>
      <c r="T96">
        <f t="shared" si="28"/>
        <v>-2.0507719546996E-3</v>
      </c>
      <c r="U96">
        <f t="shared" si="29"/>
        <v>-2.2317523714693267E-3</v>
      </c>
    </row>
    <row r="97" spans="2:21" x14ac:dyDescent="0.25">
      <c r="B97">
        <v>278</v>
      </c>
      <c r="C97">
        <v>2.8E-3</v>
      </c>
      <c r="D97">
        <v>6.7000000000000002E-3</v>
      </c>
      <c r="E97">
        <f t="shared" si="15"/>
        <v>6.4675916431725034E-9</v>
      </c>
      <c r="F97">
        <f t="shared" si="16"/>
        <v>2.4728138528138477E-3</v>
      </c>
      <c r="G97">
        <f t="shared" si="22"/>
        <v>6.8590198957446118E-5</v>
      </c>
      <c r="H97">
        <f t="shared" si="17"/>
        <v>6.0788400873432893E-9</v>
      </c>
      <c r="I97">
        <f t="shared" si="23"/>
        <v>6.4467405183431191E-5</v>
      </c>
      <c r="J97">
        <f t="shared" si="24"/>
        <v>2.1844780246405657E-3</v>
      </c>
      <c r="K97">
        <f t="shared" si="18"/>
        <v>4.830389610389607E-3</v>
      </c>
      <c r="L97">
        <f t="shared" si="25"/>
        <v>2.6459115857490412E-3</v>
      </c>
      <c r="M97">
        <f t="shared" si="26"/>
        <v>58.798035238867577</v>
      </c>
      <c r="O97">
        <v>8.6999999999999994E-3</v>
      </c>
      <c r="P97">
        <f t="shared" si="19"/>
        <v>-8.0519480519514186E-6</v>
      </c>
      <c r="Q97">
        <f t="shared" si="20"/>
        <v>6.0097725520436837E-9</v>
      </c>
      <c r="R97">
        <f t="shared" si="27"/>
        <v>6.3734929132210281E-5</v>
      </c>
      <c r="S97">
        <f t="shared" si="21"/>
        <v>2.1351201259290444E-3</v>
      </c>
      <c r="T97">
        <f t="shared" si="28"/>
        <v>-2.1431720739809959E-3</v>
      </c>
      <c r="U97">
        <f t="shared" si="29"/>
        <v>-2.3574943145075532E-3</v>
      </c>
    </row>
    <row r="98" spans="2:21" x14ac:dyDescent="0.25">
      <c r="B98">
        <v>279</v>
      </c>
      <c r="C98">
        <v>3.5000000000000001E-3</v>
      </c>
      <c r="D98">
        <v>6.8999999999999999E-3</v>
      </c>
      <c r="E98">
        <f t="shared" si="15"/>
        <v>4.8603424810250179E-9</v>
      </c>
      <c r="F98">
        <f t="shared" si="16"/>
        <v>3.3446320346320305E-3</v>
      </c>
      <c r="G98">
        <f t="shared" si="22"/>
        <v>9.2772440769777839E-5</v>
      </c>
      <c r="H98">
        <f t="shared" si="17"/>
        <v>4.5681988508136228E-9</v>
      </c>
      <c r="I98">
        <f t="shared" si="23"/>
        <v>8.7196109937976322E-5</v>
      </c>
      <c r="J98">
        <f t="shared" si="24"/>
        <v>2.9546401852483277E-3</v>
      </c>
      <c r="K98">
        <f t="shared" si="18"/>
        <v>5.3054545454545403E-3</v>
      </c>
      <c r="L98">
        <f t="shared" si="25"/>
        <v>2.3508143602062126E-3</v>
      </c>
      <c r="M98">
        <f t="shared" si="26"/>
        <v>52.240319115693609</v>
      </c>
      <c r="O98">
        <v>8.9999999999999993E-3</v>
      </c>
      <c r="P98">
        <f t="shared" si="19"/>
        <v>3.6155844155843879E-4</v>
      </c>
      <c r="Q98">
        <f t="shared" si="20"/>
        <v>4.5162951601669285E-9</v>
      </c>
      <c r="R98">
        <f t="shared" si="27"/>
        <v>8.6205391262275541E-5</v>
      </c>
      <c r="S98">
        <f t="shared" si="21"/>
        <v>2.8878806072862306E-3</v>
      </c>
      <c r="T98">
        <f t="shared" si="28"/>
        <v>-2.5263221657277918E-3</v>
      </c>
      <c r="U98">
        <f t="shared" si="29"/>
        <v>-2.716741151552962E-3</v>
      </c>
    </row>
    <row r="99" spans="2:21" x14ac:dyDescent="0.25">
      <c r="B99">
        <v>280</v>
      </c>
      <c r="C99">
        <v>3.0000000000000001E-3</v>
      </c>
      <c r="D99">
        <v>6.4999999999999997E-3</v>
      </c>
      <c r="E99">
        <f t="shared" si="15"/>
        <v>3.6525078168461535E-9</v>
      </c>
      <c r="F99">
        <f t="shared" si="16"/>
        <v>3.0164502164502132E-3</v>
      </c>
      <c r="G99">
        <f t="shared" si="22"/>
        <v>8.3669427949911607E-5</v>
      </c>
      <c r="H99">
        <f t="shared" si="17"/>
        <v>3.4329642564582244E-9</v>
      </c>
      <c r="I99">
        <f t="shared" si="23"/>
        <v>7.8640257574690857E-5</v>
      </c>
      <c r="J99">
        <f t="shared" si="24"/>
        <v>2.6647251279183996E-3</v>
      </c>
      <c r="K99">
        <f t="shared" si="18"/>
        <v>5.1805194805194738E-3</v>
      </c>
      <c r="L99">
        <f t="shared" si="25"/>
        <v>2.5157943526010742E-3</v>
      </c>
      <c r="M99">
        <f t="shared" si="26"/>
        <v>55.90654116891276</v>
      </c>
      <c r="O99">
        <v>8.6E-3</v>
      </c>
      <c r="P99">
        <f t="shared" si="19"/>
        <v>3.1168831168829764E-5</v>
      </c>
      <c r="Q99">
        <f t="shared" si="20"/>
        <v>3.3939590553740748E-9</v>
      </c>
      <c r="R99">
        <f t="shared" si="27"/>
        <v>7.7746750147621182E-5</v>
      </c>
      <c r="S99">
        <f t="shared" si="21"/>
        <v>2.6045161299453096E-3</v>
      </c>
      <c r="T99">
        <f t="shared" si="28"/>
        <v>-2.5733472987764798E-3</v>
      </c>
      <c r="U99">
        <f t="shared" si="29"/>
        <v>-2.7771298761148982E-3</v>
      </c>
    </row>
    <row r="100" spans="2:21" x14ac:dyDescent="0.25">
      <c r="B100">
        <v>281</v>
      </c>
      <c r="C100">
        <v>3.0999999999999999E-3</v>
      </c>
      <c r="D100">
        <v>6.7000000000000002E-3</v>
      </c>
      <c r="E100">
        <f t="shared" si="15"/>
        <v>2.7448298971122615E-9</v>
      </c>
      <c r="F100">
        <f t="shared" si="16"/>
        <v>3.2882683982683957E-3</v>
      </c>
      <c r="G100">
        <f t="shared" si="22"/>
        <v>9.1209042446144337E-5</v>
      </c>
      <c r="H100">
        <f t="shared" si="17"/>
        <v>2.5798446983149056E-9</v>
      </c>
      <c r="I100">
        <f t="shared" si="23"/>
        <v>8.5726683770320664E-5</v>
      </c>
      <c r="J100">
        <f t="shared" si="24"/>
        <v>2.9048486795573156E-3</v>
      </c>
      <c r="K100">
        <f t="shared" si="18"/>
        <v>5.655584415584408E-3</v>
      </c>
      <c r="L100">
        <f t="shared" si="25"/>
        <v>2.7507357360270924E-3</v>
      </c>
      <c r="M100">
        <f t="shared" si="26"/>
        <v>61.127460800602051</v>
      </c>
      <c r="O100">
        <v>8.3999999999999995E-3</v>
      </c>
      <c r="P100">
        <f t="shared" si="19"/>
        <v>-9.9220779220780472E-5</v>
      </c>
      <c r="Q100">
        <f t="shared" si="20"/>
        <v>2.5505326071580152E-9</v>
      </c>
      <c r="R100">
        <f t="shared" si="27"/>
        <v>8.4752660655326619E-5</v>
      </c>
      <c r="S100">
        <f t="shared" si="21"/>
        <v>2.8392141319534417E-3</v>
      </c>
      <c r="T100">
        <f t="shared" si="28"/>
        <v>-2.9384349111742222E-3</v>
      </c>
      <c r="U100">
        <f t="shared" si="29"/>
        <v>-3.1612480426549171E-3</v>
      </c>
    </row>
    <row r="101" spans="2:21" x14ac:dyDescent="0.25">
      <c r="B101">
        <v>282</v>
      </c>
      <c r="C101">
        <v>2.8999999999999998E-3</v>
      </c>
      <c r="D101">
        <v>6.6E-3</v>
      </c>
      <c r="E101">
        <f t="shared" si="15"/>
        <v>2.0627173278952145E-9</v>
      </c>
      <c r="F101">
        <f t="shared" si="16"/>
        <v>3.2600865800865783E-3</v>
      </c>
      <c r="G101">
        <f t="shared" si="22"/>
        <v>9.0427343284327593E-5</v>
      </c>
      <c r="H101">
        <f t="shared" si="17"/>
        <v>1.9387322937903401E-9</v>
      </c>
      <c r="I101">
        <f t="shared" si="23"/>
        <v>8.4991970686492855E-5</v>
      </c>
      <c r="J101">
        <f t="shared" si="24"/>
        <v>2.87995292671181E-3</v>
      </c>
      <c r="K101">
        <f t="shared" si="18"/>
        <v>5.8306493506493553E-3</v>
      </c>
      <c r="L101">
        <f t="shared" si="25"/>
        <v>2.9506964239375453E-3</v>
      </c>
      <c r="M101">
        <f t="shared" si="26"/>
        <v>65.571031643056557</v>
      </c>
      <c r="O101">
        <v>8.3000000000000001E-3</v>
      </c>
      <c r="P101">
        <f t="shared" si="19"/>
        <v>-1.2961038961038958E-4</v>
      </c>
      <c r="Q101">
        <f t="shared" si="20"/>
        <v>1.9167044958529259E-9</v>
      </c>
      <c r="R101">
        <f t="shared" si="27"/>
        <v>8.4026295351852159E-5</v>
      </c>
      <c r="S101">
        <f t="shared" si="21"/>
        <v>2.8148808942870473E-3</v>
      </c>
      <c r="T101">
        <f t="shared" si="28"/>
        <v>-2.9444912838974368E-3</v>
      </c>
      <c r="U101">
        <f t="shared" si="29"/>
        <v>-3.183501488205895E-3</v>
      </c>
    </row>
    <row r="102" spans="2:21" x14ac:dyDescent="0.25">
      <c r="B102">
        <v>283</v>
      </c>
      <c r="C102">
        <v>2.8999999999999998E-3</v>
      </c>
      <c r="D102">
        <v>6.3E-3</v>
      </c>
      <c r="E102">
        <f t="shared" si="15"/>
        <v>1.5501152837469153E-9</v>
      </c>
      <c r="F102">
        <f t="shared" si="16"/>
        <v>3.431904761904761E-3</v>
      </c>
      <c r="G102">
        <f t="shared" si="22"/>
        <v>9.5193186561210499E-5</v>
      </c>
      <c r="H102">
        <f t="shared" si="17"/>
        <v>1.4569415397138639E-9</v>
      </c>
      <c r="I102">
        <f t="shared" si="23"/>
        <v>8.9471350455636785E-5</v>
      </c>
      <c r="J102">
        <f t="shared" si="24"/>
        <v>3.0317367101892522E-3</v>
      </c>
      <c r="K102">
        <f t="shared" si="18"/>
        <v>5.805714285714289E-3</v>
      </c>
      <c r="L102">
        <f t="shared" si="25"/>
        <v>2.7739775755250369E-3</v>
      </c>
      <c r="M102">
        <f t="shared" si="26"/>
        <v>61.643946122778594</v>
      </c>
      <c r="O102">
        <v>8.0999999999999996E-3</v>
      </c>
      <c r="P102">
        <f t="shared" si="19"/>
        <v>-2.6000000000000328E-4</v>
      </c>
      <c r="Q102">
        <f t="shared" si="20"/>
        <v>1.4403878288450479E-9</v>
      </c>
      <c r="R102">
        <f t="shared" si="27"/>
        <v>8.8454780589164315E-5</v>
      </c>
      <c r="S102">
        <f t="shared" si="21"/>
        <v>2.9632351497370047E-3</v>
      </c>
      <c r="T102">
        <f t="shared" si="28"/>
        <v>-3.223235149737008E-3</v>
      </c>
      <c r="U102">
        <f t="shared" si="29"/>
        <v>-3.4479309001011105E-3</v>
      </c>
    </row>
    <row r="103" spans="2:21" x14ac:dyDescent="0.25">
      <c r="B103">
        <v>284</v>
      </c>
      <c r="C103">
        <v>3.3E-3</v>
      </c>
      <c r="D103">
        <v>6.6E-3</v>
      </c>
      <c r="E103">
        <f t="shared" si="15"/>
        <v>1.1648990195654402E-9</v>
      </c>
      <c r="F103">
        <f t="shared" si="16"/>
        <v>4.003722943722937E-3</v>
      </c>
      <c r="G103">
        <f t="shared" si="22"/>
        <v>1.1105411471549254E-4</v>
      </c>
      <c r="H103">
        <f t="shared" si="17"/>
        <v>1.0948797092526055E-9</v>
      </c>
      <c r="I103">
        <f t="shared" si="23"/>
        <v>1.0437891593072407E-4</v>
      </c>
      <c r="J103">
        <f t="shared" si="24"/>
        <v>3.5368795663125851E-3</v>
      </c>
      <c r="K103">
        <f t="shared" si="18"/>
        <v>6.3807792207792226E-3</v>
      </c>
      <c r="L103">
        <f t="shared" si="25"/>
        <v>2.8438996544666376E-3</v>
      </c>
      <c r="M103">
        <f t="shared" si="26"/>
        <v>63.197770099258605</v>
      </c>
      <c r="O103">
        <v>8.2000000000000007E-3</v>
      </c>
      <c r="P103">
        <f t="shared" si="19"/>
        <v>-9.0389610389611866E-5</v>
      </c>
      <c r="Q103">
        <f t="shared" si="20"/>
        <v>1.0824397302630158E-9</v>
      </c>
      <c r="R103">
        <f t="shared" si="27"/>
        <v>1.0319296690804949E-4</v>
      </c>
      <c r="S103">
        <f t="shared" si="21"/>
        <v>3.4569643914196578E-3</v>
      </c>
      <c r="T103">
        <f t="shared" si="28"/>
        <v>-3.5473540018092697E-3</v>
      </c>
      <c r="U103">
        <f t="shared" si="29"/>
        <v>-3.7777135304725993E-3</v>
      </c>
    </row>
    <row r="104" spans="2:21" x14ac:dyDescent="0.25">
      <c r="B104">
        <v>285</v>
      </c>
      <c r="C104">
        <v>2.8E-3</v>
      </c>
      <c r="D104">
        <v>6.1000000000000004E-3</v>
      </c>
      <c r="E104">
        <f t="shared" si="15"/>
        <v>8.754121322540786E-10</v>
      </c>
      <c r="F104">
        <f t="shared" si="16"/>
        <v>3.6755411255411197E-3</v>
      </c>
      <c r="G104">
        <f t="shared" si="22"/>
        <v>1.0195110189562631E-4</v>
      </c>
      <c r="H104">
        <f t="shared" si="17"/>
        <v>8.2279319043130629E-10</v>
      </c>
      <c r="I104">
        <f t="shared" si="23"/>
        <v>9.5823063567438633E-5</v>
      </c>
      <c r="J104">
        <f t="shared" si="24"/>
        <v>3.2469645089826579E-3</v>
      </c>
      <c r="K104">
        <f t="shared" si="18"/>
        <v>6.1558441558441567E-3</v>
      </c>
      <c r="L104">
        <f t="shared" si="25"/>
        <v>2.9088796468614989E-3</v>
      </c>
      <c r="M104">
        <f t="shared" si="26"/>
        <v>64.641769930255521</v>
      </c>
      <c r="O104">
        <v>7.7000000000000002E-3</v>
      </c>
      <c r="P104">
        <f t="shared" si="19"/>
        <v>-5.2077922077922202E-4</v>
      </c>
      <c r="Q104">
        <f t="shared" si="20"/>
        <v>8.1344464746786963E-10</v>
      </c>
      <c r="R104">
        <f t="shared" si="27"/>
        <v>9.4734325793395142E-5</v>
      </c>
      <c r="S104">
        <f t="shared" si="21"/>
        <v>3.1735999140787372E-3</v>
      </c>
      <c r="T104">
        <f t="shared" si="28"/>
        <v>-3.6943791348579592E-3</v>
      </c>
      <c r="U104">
        <f t="shared" si="29"/>
        <v>-3.9300021264557549E-3</v>
      </c>
    </row>
    <row r="105" spans="2:21" x14ac:dyDescent="0.25">
      <c r="B105">
        <v>286</v>
      </c>
      <c r="C105">
        <v>3.0999999999999999E-3</v>
      </c>
      <c r="D105">
        <v>6.4999999999999997E-3</v>
      </c>
      <c r="E105">
        <f t="shared" si="15"/>
        <v>6.5786509253266798E-10</v>
      </c>
      <c r="F105">
        <f t="shared" si="16"/>
        <v>4.1473593073593027E-3</v>
      </c>
      <c r="G105">
        <f t="shared" si="22"/>
        <v>1.1503825883055872E-4</v>
      </c>
      <c r="H105">
        <f t="shared" si="17"/>
        <v>6.1832238601102447E-10</v>
      </c>
      <c r="I105">
        <f t="shared" si="23"/>
        <v>1.0812358261604023E-4</v>
      </c>
      <c r="J105">
        <f t="shared" si="24"/>
        <v>3.663767596944523E-3</v>
      </c>
      <c r="K105">
        <f t="shared" si="18"/>
        <v>6.8309090909090897E-3</v>
      </c>
      <c r="L105">
        <f t="shared" si="25"/>
        <v>3.1671414939645668E-3</v>
      </c>
      <c r="M105">
        <f t="shared" si="26"/>
        <v>70.380922088101485</v>
      </c>
      <c r="O105">
        <v>7.9000000000000008E-3</v>
      </c>
      <c r="P105">
        <f t="shared" si="19"/>
        <v>-2.5116883116883121E-4</v>
      </c>
      <c r="Q105">
        <f t="shared" si="20"/>
        <v>6.1129703206047873E-10</v>
      </c>
      <c r="R105">
        <f t="shared" si="27"/>
        <v>1.0689508684188721E-4</v>
      </c>
      <c r="S105">
        <f t="shared" si="21"/>
        <v>3.5809854092032217E-3</v>
      </c>
      <c r="T105">
        <f t="shared" si="28"/>
        <v>-3.8321542403720529E-3</v>
      </c>
      <c r="U105">
        <f t="shared" si="29"/>
        <v>-4.0886967736551341E-3</v>
      </c>
    </row>
    <row r="106" spans="2:21" x14ac:dyDescent="0.25">
      <c r="B106">
        <v>287</v>
      </c>
      <c r="C106">
        <v>2.8999999999999998E-3</v>
      </c>
      <c r="D106">
        <v>6.1999999999999998E-3</v>
      </c>
      <c r="E106">
        <f t="shared" si="15"/>
        <v>4.9438026276679985E-10</v>
      </c>
      <c r="F106">
        <f t="shared" si="16"/>
        <v>4.1191774891774849E-3</v>
      </c>
      <c r="G106">
        <f t="shared" si="22"/>
        <v>1.1425655966874196E-4</v>
      </c>
      <c r="H106">
        <f t="shared" si="17"/>
        <v>4.6466424064831386E-10</v>
      </c>
      <c r="I106">
        <f t="shared" si="23"/>
        <v>1.0738886953221238E-4</v>
      </c>
      <c r="J106">
        <f t="shared" si="24"/>
        <v>3.6388718440990165E-3</v>
      </c>
      <c r="K106">
        <f t="shared" si="18"/>
        <v>6.8059740259740235E-3</v>
      </c>
      <c r="L106">
        <f t="shared" si="25"/>
        <v>3.167102181875007E-3</v>
      </c>
      <c r="M106">
        <f t="shared" si="26"/>
        <v>70.380048486111264</v>
      </c>
      <c r="O106">
        <v>7.7999999999999996E-3</v>
      </c>
      <c r="P106">
        <f t="shared" si="19"/>
        <v>-2.8155844155844205E-4</v>
      </c>
      <c r="Q106">
        <f t="shared" si="20"/>
        <v>4.5938474433284685E-10</v>
      </c>
      <c r="R106">
        <f t="shared" si="27"/>
        <v>1.0616872153841272E-4</v>
      </c>
      <c r="S106">
        <f t="shared" si="21"/>
        <v>3.556652171536826E-3</v>
      </c>
      <c r="T106">
        <f t="shared" si="28"/>
        <v>-3.838210613095268E-3</v>
      </c>
      <c r="U106">
        <f t="shared" si="29"/>
        <v>-4.0947499620485476E-3</v>
      </c>
    </row>
    <row r="107" spans="2:21" x14ac:dyDescent="0.25">
      <c r="B107">
        <v>288</v>
      </c>
      <c r="C107">
        <v>3.2000000000000002E-3</v>
      </c>
      <c r="D107">
        <v>6.4999999999999997E-3</v>
      </c>
      <c r="E107">
        <f t="shared" si="15"/>
        <v>3.7152274377779401E-10</v>
      </c>
      <c r="F107">
        <f t="shared" si="16"/>
        <v>4.5909956709956675E-3</v>
      </c>
      <c r="G107">
        <f t="shared" si="22"/>
        <v>1.2734371660367435E-4</v>
      </c>
      <c r="H107">
        <f t="shared" si="17"/>
        <v>3.4919139501027821E-10</v>
      </c>
      <c r="I107">
        <f t="shared" si="23"/>
        <v>1.1968938858081397E-4</v>
      </c>
      <c r="J107">
        <f t="shared" si="24"/>
        <v>4.0556749320608812E-3</v>
      </c>
      <c r="K107">
        <f t="shared" si="18"/>
        <v>7.3810389610389571E-3</v>
      </c>
      <c r="L107">
        <f t="shared" si="25"/>
        <v>3.3253640289780759E-3</v>
      </c>
      <c r="M107">
        <f t="shared" si="26"/>
        <v>73.896978421735014</v>
      </c>
      <c r="O107">
        <v>7.7999999999999996E-3</v>
      </c>
      <c r="P107">
        <f t="shared" si="19"/>
        <v>-2.1194805194805523E-4</v>
      </c>
      <c r="Q107">
        <f t="shared" si="20"/>
        <v>3.45223896498283E-10</v>
      </c>
      <c r="R107">
        <f t="shared" si="27"/>
        <v>1.1832948258690476E-4</v>
      </c>
      <c r="S107">
        <f t="shared" si="21"/>
        <v>3.9640376666613096E-3</v>
      </c>
      <c r="T107">
        <f t="shared" si="28"/>
        <v>-4.1759857186093648E-3</v>
      </c>
      <c r="U107">
        <f t="shared" si="29"/>
        <v>-4.4453444806691481E-3</v>
      </c>
    </row>
    <row r="108" spans="2:21" x14ac:dyDescent="0.25">
      <c r="B108">
        <v>289</v>
      </c>
      <c r="C108">
        <v>3.0999999999999999E-3</v>
      </c>
      <c r="D108">
        <v>6.1999999999999998E-3</v>
      </c>
      <c r="E108">
        <f t="shared" si="15"/>
        <v>2.7919631817763216E-10</v>
      </c>
      <c r="F108">
        <f t="shared" si="16"/>
        <v>4.6628138528138508E-3</v>
      </c>
      <c r="G108">
        <f t="shared" si="22"/>
        <v>1.2933578866120745E-4</v>
      </c>
      <c r="H108">
        <f t="shared" si="17"/>
        <v>2.6241449133055214E-10</v>
      </c>
      <c r="I108">
        <f t="shared" si="23"/>
        <v>1.2156172192347205E-4</v>
      </c>
      <c r="J108">
        <f t="shared" si="24"/>
        <v>4.1191189473768503E-3</v>
      </c>
      <c r="K108">
        <f t="shared" si="18"/>
        <v>7.3561038961038909E-3</v>
      </c>
      <c r="L108">
        <f t="shared" si="25"/>
        <v>3.2369849487270405E-3</v>
      </c>
      <c r="M108">
        <f t="shared" si="26"/>
        <v>71.93299886060089</v>
      </c>
      <c r="O108">
        <v>7.4000000000000003E-3</v>
      </c>
      <c r="P108">
        <f t="shared" si="19"/>
        <v>-5.4233766233766426E-4</v>
      </c>
      <c r="Q108">
        <f t="shared" si="20"/>
        <v>2.5943294848970041E-10</v>
      </c>
      <c r="R108">
        <f t="shared" si="27"/>
        <v>1.2018054255382365E-4</v>
      </c>
      <c r="S108">
        <f t="shared" si="21"/>
        <v>4.026048175553092E-3</v>
      </c>
      <c r="T108">
        <f t="shared" si="28"/>
        <v>-4.5683858378907562E-3</v>
      </c>
      <c r="U108">
        <f t="shared" si="29"/>
        <v>-4.8305857808134608E-3</v>
      </c>
    </row>
    <row r="109" spans="2:21" x14ac:dyDescent="0.25">
      <c r="B109">
        <v>290</v>
      </c>
      <c r="C109">
        <v>3.0999999999999999E-3</v>
      </c>
      <c r="D109">
        <v>6.0000000000000001E-3</v>
      </c>
      <c r="E109">
        <f t="shared" si="15"/>
        <v>2.098137607709086E-10</v>
      </c>
      <c r="F109">
        <f t="shared" si="16"/>
        <v>4.8346320346320335E-3</v>
      </c>
      <c r="G109">
        <f t="shared" si="22"/>
        <v>1.3410163193809037E-4</v>
      </c>
      <c r="H109">
        <f t="shared" si="17"/>
        <v>1.9720235448025734E-10</v>
      </c>
      <c r="I109">
        <f t="shared" si="23"/>
        <v>1.2604110169261599E-4</v>
      </c>
      <c r="J109">
        <f t="shared" si="24"/>
        <v>4.2709027308542929E-3</v>
      </c>
      <c r="K109">
        <f t="shared" si="18"/>
        <v>7.4311688311688249E-3</v>
      </c>
      <c r="L109">
        <f t="shared" si="25"/>
        <v>3.160266100314532E-3</v>
      </c>
      <c r="M109">
        <f t="shared" si="26"/>
        <v>70.228135562545148</v>
      </c>
      <c r="O109">
        <v>7.4000000000000003E-3</v>
      </c>
      <c r="P109">
        <f t="shared" si="19"/>
        <v>-4.7272727272727397E-4</v>
      </c>
      <c r="Q109">
        <f t="shared" si="20"/>
        <v>1.9496174930171523E-10</v>
      </c>
      <c r="R109">
        <f t="shared" si="27"/>
        <v>1.2460902779113577E-4</v>
      </c>
      <c r="S109">
        <f t="shared" si="21"/>
        <v>4.1744024310030482E-3</v>
      </c>
      <c r="T109">
        <f t="shared" si="28"/>
        <v>-4.6471297037303221E-3</v>
      </c>
      <c r="U109">
        <f t="shared" si="29"/>
        <v>-4.9031153212874528E-3</v>
      </c>
    </row>
    <row r="110" spans="2:21" x14ac:dyDescent="0.25">
      <c r="B110">
        <v>291</v>
      </c>
      <c r="C110">
        <v>3.0999999999999999E-3</v>
      </c>
      <c r="D110">
        <v>6.0000000000000001E-3</v>
      </c>
      <c r="E110">
        <f t="shared" si="15"/>
        <v>1.5767333357463616E-10</v>
      </c>
      <c r="F110">
        <f t="shared" si="16"/>
        <v>5.0064502164502093E-3</v>
      </c>
      <c r="G110">
        <f t="shared" si="22"/>
        <v>1.3886747521497307E-4</v>
      </c>
      <c r="H110">
        <f t="shared" si="17"/>
        <v>1.4819596438967454E-10</v>
      </c>
      <c r="I110">
        <f t="shared" si="23"/>
        <v>1.3052048146175975E-4</v>
      </c>
      <c r="J110">
        <f t="shared" si="24"/>
        <v>4.4226865143317286E-3</v>
      </c>
      <c r="K110">
        <f t="shared" si="18"/>
        <v>7.7062337662337586E-3</v>
      </c>
      <c r="L110">
        <f t="shared" si="25"/>
        <v>3.28354725190203E-3</v>
      </c>
      <c r="M110">
        <f t="shared" si="26"/>
        <v>72.967716708933992</v>
      </c>
      <c r="O110">
        <v>7.1999999999999998E-3</v>
      </c>
      <c r="P110">
        <f t="shared" si="19"/>
        <v>-6.031168831168842E-4</v>
      </c>
      <c r="Q110">
        <f t="shared" si="20"/>
        <v>1.4651216783397072E-10</v>
      </c>
      <c r="R110">
        <f t="shared" si="27"/>
        <v>1.2903751302844777E-4</v>
      </c>
      <c r="S110">
        <f t="shared" si="21"/>
        <v>4.322756686453E-3</v>
      </c>
      <c r="T110">
        <f t="shared" si="28"/>
        <v>-4.9258735695698842E-3</v>
      </c>
      <c r="U110">
        <f t="shared" si="29"/>
        <v>-5.1918451189190053E-3</v>
      </c>
    </row>
    <row r="111" spans="2:21" x14ac:dyDescent="0.25">
      <c r="B111">
        <v>292</v>
      </c>
      <c r="C111">
        <v>2.8999999999999998E-3</v>
      </c>
      <c r="D111">
        <v>6.0000000000000001E-3</v>
      </c>
      <c r="E111">
        <f t="shared" si="15"/>
        <v>1.1849022690024409E-10</v>
      </c>
      <c r="F111">
        <f t="shared" si="16"/>
        <v>4.9782683982683915E-3</v>
      </c>
      <c r="G111">
        <f t="shared" si="22"/>
        <v>1.3808577605315631E-4</v>
      </c>
      <c r="H111">
        <f t="shared" si="17"/>
        <v>1.1136806109272081E-10</v>
      </c>
      <c r="I111">
        <f t="shared" si="23"/>
        <v>1.2978576837793191E-4</v>
      </c>
      <c r="J111">
        <f t="shared" si="24"/>
        <v>4.3977907614862225E-3</v>
      </c>
      <c r="K111">
        <f t="shared" si="18"/>
        <v>7.9812987012987061E-3</v>
      </c>
      <c r="L111">
        <f t="shared" si="25"/>
        <v>3.5835079398124836E-3</v>
      </c>
      <c r="M111">
        <f t="shared" si="26"/>
        <v>79.63350977361074</v>
      </c>
      <c r="O111">
        <v>6.8999999999999999E-3</v>
      </c>
      <c r="P111">
        <f t="shared" si="19"/>
        <v>-8.3350649350649383E-4</v>
      </c>
      <c r="Q111">
        <f t="shared" si="20"/>
        <v>1.1010270168529284E-10</v>
      </c>
      <c r="R111">
        <f t="shared" si="27"/>
        <v>1.283111477249733E-4</v>
      </c>
      <c r="S111">
        <f t="shared" si="21"/>
        <v>4.2984234487866051E-3</v>
      </c>
      <c r="T111">
        <f t="shared" si="28"/>
        <v>-5.1319299422930989E-3</v>
      </c>
      <c r="U111">
        <f t="shared" si="29"/>
        <v>-5.4221986930487655E-3</v>
      </c>
    </row>
    <row r="112" spans="2:21" x14ac:dyDescent="0.25">
      <c r="B112">
        <v>293</v>
      </c>
      <c r="C112">
        <v>3.0999999999999999E-3</v>
      </c>
      <c r="D112">
        <v>6.0000000000000001E-3</v>
      </c>
      <c r="E112">
        <f t="shared" si="15"/>
        <v>8.9044441140234677E-11</v>
      </c>
      <c r="F112">
        <f t="shared" si="16"/>
        <v>5.3500865800865747E-3</v>
      </c>
      <c r="G112">
        <f t="shared" si="22"/>
        <v>1.4839916176873891E-4</v>
      </c>
      <c r="H112">
        <f t="shared" si="17"/>
        <v>8.3692191502187168E-11</v>
      </c>
      <c r="I112">
        <f t="shared" si="23"/>
        <v>1.3947924100004763E-4</v>
      </c>
      <c r="J112">
        <f t="shared" si="24"/>
        <v>4.7262540812866138E-3</v>
      </c>
      <c r="K112">
        <f t="shared" si="18"/>
        <v>8.2563636363636398E-3</v>
      </c>
      <c r="L112">
        <f t="shared" si="25"/>
        <v>3.530109555077026E-3</v>
      </c>
      <c r="M112">
        <f t="shared" si="26"/>
        <v>78.446879001711679</v>
      </c>
      <c r="O112">
        <v>6.7000000000000002E-3</v>
      </c>
      <c r="P112">
        <f t="shared" si="19"/>
        <v>-9.6389610389610667E-4</v>
      </c>
      <c r="Q112">
        <f t="shared" si="20"/>
        <v>8.2741284206087366E-11</v>
      </c>
      <c r="R112">
        <f t="shared" si="27"/>
        <v>1.3789448350307206E-4</v>
      </c>
      <c r="S112">
        <f t="shared" si="21"/>
        <v>4.6194651973529141E-3</v>
      </c>
      <c r="T112">
        <f t="shared" si="28"/>
        <v>-5.5833613012490207E-3</v>
      </c>
      <c r="U112">
        <f t="shared" si="29"/>
        <v>-5.8693047141821228E-3</v>
      </c>
    </row>
    <row r="113" spans="2:21" x14ac:dyDescent="0.25">
      <c r="B113">
        <v>294</v>
      </c>
      <c r="C113">
        <v>2.7000000000000001E-3</v>
      </c>
      <c r="D113">
        <v>6.0000000000000001E-3</v>
      </c>
      <c r="E113">
        <f t="shared" si="15"/>
        <v>6.691617279669849E-11</v>
      </c>
      <c r="F113">
        <f t="shared" si="16"/>
        <v>5.1219047619047572E-3</v>
      </c>
      <c r="G113">
        <f t="shared" si="22"/>
        <v>1.420699201682225E-4</v>
      </c>
      <c r="H113">
        <f t="shared" si="17"/>
        <v>6.2894000754913123E-11</v>
      </c>
      <c r="I113">
        <f t="shared" si="23"/>
        <v>1.3353043506324805E-4</v>
      </c>
      <c r="J113">
        <f t="shared" si="24"/>
        <v>4.52467879211816E-3</v>
      </c>
      <c r="K113">
        <f t="shared" si="18"/>
        <v>8.5314285714285735E-3</v>
      </c>
      <c r="L113">
        <f t="shared" si="25"/>
        <v>4.0067497793104135E-3</v>
      </c>
      <c r="M113">
        <f t="shared" si="26"/>
        <v>89.038883984675849</v>
      </c>
      <c r="O113">
        <v>6.6E-3</v>
      </c>
      <c r="P113">
        <f t="shared" si="19"/>
        <v>-9.9428571428571665E-4</v>
      </c>
      <c r="Q113">
        <f t="shared" si="20"/>
        <v>6.2179401661194927E-11</v>
      </c>
      <c r="R113">
        <f t="shared" si="27"/>
        <v>1.3201326765881102E-4</v>
      </c>
      <c r="S113">
        <f t="shared" si="21"/>
        <v>4.422444466570169E-3</v>
      </c>
      <c r="T113">
        <f t="shared" si="28"/>
        <v>-5.4167301808558856E-3</v>
      </c>
      <c r="U113">
        <f t="shared" si="29"/>
        <v>-5.7412820648100856E-3</v>
      </c>
    </row>
    <row r="114" spans="2:21" x14ac:dyDescent="0.25">
      <c r="B114">
        <v>295</v>
      </c>
      <c r="C114">
        <v>2.5999999999999999E-3</v>
      </c>
      <c r="D114">
        <v>6.0000000000000001E-3</v>
      </c>
      <c r="E114">
        <f t="shared" si="15"/>
        <v>5.0286959235396129E-11</v>
      </c>
      <c r="F114">
        <f t="shared" si="16"/>
        <v>5.1937229437229396E-3</v>
      </c>
      <c r="G114">
        <f t="shared" si="22"/>
        <v>1.4406199222575557E-4</v>
      </c>
      <c r="H114">
        <f t="shared" si="17"/>
        <v>4.7264329681887209E-11</v>
      </c>
      <c r="I114">
        <f t="shared" si="23"/>
        <v>1.3540276840590611E-4</v>
      </c>
      <c r="J114">
        <f t="shared" si="24"/>
        <v>4.5881228074341283E-3</v>
      </c>
      <c r="K114">
        <f t="shared" si="18"/>
        <v>8.8064935064935072E-3</v>
      </c>
      <c r="L114">
        <f t="shared" si="25"/>
        <v>4.2183706990593789E-3</v>
      </c>
      <c r="M114">
        <f t="shared" si="26"/>
        <v>93.74157109020841</v>
      </c>
      <c r="O114">
        <v>6.7000000000000002E-3</v>
      </c>
      <c r="P114">
        <f t="shared" si="19"/>
        <v>-8.2467532467532609E-4</v>
      </c>
      <c r="Q114">
        <f t="shared" si="20"/>
        <v>4.6727314278979538E-11</v>
      </c>
      <c r="R114">
        <f t="shared" si="27"/>
        <v>1.3386432762572983E-4</v>
      </c>
      <c r="S114">
        <f t="shared" si="21"/>
        <v>4.4844549754619496E-3</v>
      </c>
      <c r="T114">
        <f t="shared" si="28"/>
        <v>-5.3091303001372757E-3</v>
      </c>
      <c r="U114">
        <f t="shared" si="29"/>
        <v>-5.6508237506907423E-3</v>
      </c>
    </row>
    <row r="115" spans="2:21" x14ac:dyDescent="0.25">
      <c r="B115">
        <v>296</v>
      </c>
      <c r="C115">
        <v>2.5999999999999999E-3</v>
      </c>
      <c r="D115">
        <v>5.8999999999999999E-3</v>
      </c>
      <c r="E115">
        <f t="shared" si="15"/>
        <v>3.7790240586908719E-11</v>
      </c>
      <c r="F115">
        <f t="shared" si="16"/>
        <v>5.3655411255411223E-3</v>
      </c>
      <c r="G115">
        <f t="shared" si="22"/>
        <v>1.4882783550263849E-4</v>
      </c>
      <c r="H115">
        <f t="shared" si="17"/>
        <v>3.551875907820376E-11</v>
      </c>
      <c r="I115">
        <f t="shared" si="23"/>
        <v>1.3988214817505008E-4</v>
      </c>
      <c r="J115">
        <f t="shared" si="24"/>
        <v>4.7399065909115717E-3</v>
      </c>
      <c r="K115">
        <f t="shared" si="18"/>
        <v>8.9815584415584397E-3</v>
      </c>
      <c r="L115">
        <f t="shared" si="25"/>
        <v>4.241651850646868E-3</v>
      </c>
      <c r="M115">
        <f t="shared" si="26"/>
        <v>94.25893001437484</v>
      </c>
      <c r="O115">
        <v>6.4000000000000003E-3</v>
      </c>
      <c r="P115">
        <f t="shared" si="19"/>
        <v>-1.0550649350649357E-3</v>
      </c>
      <c r="Q115">
        <f t="shared" si="20"/>
        <v>3.5115196373611507E-11</v>
      </c>
      <c r="R115">
        <f t="shared" si="27"/>
        <v>1.3829281286304197E-4</v>
      </c>
      <c r="S115">
        <f t="shared" si="21"/>
        <v>4.6328092309119058E-3</v>
      </c>
      <c r="T115">
        <f t="shared" si="28"/>
        <v>-5.6878741659768415E-3</v>
      </c>
      <c r="U115">
        <f t="shared" si="29"/>
        <v>-6.031453419743516E-3</v>
      </c>
    </row>
    <row r="116" spans="2:21" x14ac:dyDescent="0.25">
      <c r="B116">
        <v>297</v>
      </c>
      <c r="C116">
        <v>2.5999999999999999E-3</v>
      </c>
      <c r="D116">
        <v>5.7000000000000002E-3</v>
      </c>
      <c r="E116">
        <f t="shared" si="15"/>
        <v>2.8399058231606613E-11</v>
      </c>
      <c r="F116">
        <f t="shared" si="16"/>
        <v>5.5373593073593051E-3</v>
      </c>
      <c r="G116">
        <f t="shared" si="22"/>
        <v>1.5359367877952138E-4</v>
      </c>
      <c r="H116">
        <f t="shared" si="17"/>
        <v>2.6692058365083491E-11</v>
      </c>
      <c r="I116">
        <f t="shared" si="23"/>
        <v>1.4436152794419397E-4</v>
      </c>
      <c r="J116">
        <f t="shared" si="24"/>
        <v>4.8916903743890126E-3</v>
      </c>
      <c r="K116">
        <f t="shared" si="18"/>
        <v>9.0566233766233746E-3</v>
      </c>
      <c r="L116">
        <f t="shared" si="25"/>
        <v>4.164933002234362E-3</v>
      </c>
      <c r="M116">
        <f t="shared" si="26"/>
        <v>92.554066716319156</v>
      </c>
      <c r="O116">
        <v>6.4000000000000003E-3</v>
      </c>
      <c r="P116">
        <f t="shared" si="19"/>
        <v>-9.8545454545454544E-4</v>
      </c>
      <c r="Q116">
        <f t="shared" si="20"/>
        <v>2.6388784277122535E-11</v>
      </c>
      <c r="R116">
        <f t="shared" si="27"/>
        <v>1.4272129810035411E-4</v>
      </c>
      <c r="S116">
        <f t="shared" si="21"/>
        <v>4.7811634863618628E-3</v>
      </c>
      <c r="T116">
        <f t="shared" si="28"/>
        <v>-5.7666180318164083E-3</v>
      </c>
      <c r="U116">
        <f t="shared" si="29"/>
        <v>-6.1039829602175097E-3</v>
      </c>
    </row>
    <row r="117" spans="2:21" x14ac:dyDescent="0.25">
      <c r="B117">
        <v>298</v>
      </c>
      <c r="C117">
        <v>2.5999999999999999E-3</v>
      </c>
      <c r="D117">
        <v>5.5999999999999999E-3</v>
      </c>
      <c r="E117">
        <f t="shared" si="15"/>
        <v>2.1341661125109995E-11</v>
      </c>
      <c r="F117">
        <f t="shared" si="16"/>
        <v>5.7091774891774878E-3</v>
      </c>
      <c r="G117">
        <f t="shared" si="22"/>
        <v>1.583595220564043E-4</v>
      </c>
      <c r="H117">
        <f t="shared" si="17"/>
        <v>2.0058864618449799E-11</v>
      </c>
      <c r="I117">
        <f t="shared" si="23"/>
        <v>1.4884090771333794E-4</v>
      </c>
      <c r="J117">
        <f t="shared" si="24"/>
        <v>5.0434741578664561E-3</v>
      </c>
      <c r="K117">
        <f t="shared" si="18"/>
        <v>9.2316883116883089E-3</v>
      </c>
      <c r="L117">
        <f t="shared" si="25"/>
        <v>4.1882141538218528E-3</v>
      </c>
      <c r="M117">
        <f t="shared" si="26"/>
        <v>93.071425640485614</v>
      </c>
      <c r="O117">
        <v>6.4000000000000003E-3</v>
      </c>
      <c r="P117">
        <f t="shared" si="19"/>
        <v>-9.1584415584415862E-4</v>
      </c>
      <c r="Q117">
        <f t="shared" si="20"/>
        <v>1.98309566096523E-11</v>
      </c>
      <c r="R117">
        <f t="shared" si="27"/>
        <v>1.4714978333766625E-4</v>
      </c>
      <c r="S117">
        <f t="shared" si="21"/>
        <v>4.9295177418118199E-3</v>
      </c>
      <c r="T117">
        <f t="shared" si="28"/>
        <v>-5.8453618976559785E-3</v>
      </c>
      <c r="U117">
        <f t="shared" si="29"/>
        <v>-6.1846126292702877E-3</v>
      </c>
    </row>
    <row r="118" spans="2:21" x14ac:dyDescent="0.25">
      <c r="B118">
        <v>299</v>
      </c>
      <c r="C118">
        <v>2.5999999999999999E-3</v>
      </c>
      <c r="D118">
        <v>5.5999999999999999E-3</v>
      </c>
      <c r="E118">
        <f t="shared" si="15"/>
        <v>1.6038084638740584E-11</v>
      </c>
      <c r="F118">
        <f t="shared" si="16"/>
        <v>5.8809956709956635E-3</v>
      </c>
      <c r="G118">
        <f t="shared" si="22"/>
        <v>1.6312536533328703E-4</v>
      </c>
      <c r="H118">
        <f t="shared" si="17"/>
        <v>1.507407350448587E-11</v>
      </c>
      <c r="I118">
        <f t="shared" si="23"/>
        <v>1.533202874824817E-4</v>
      </c>
      <c r="J118">
        <f t="shared" si="24"/>
        <v>5.1952579413438917E-3</v>
      </c>
      <c r="K118">
        <f t="shared" si="18"/>
        <v>9.5067532467532426E-3</v>
      </c>
      <c r="L118">
        <f t="shared" si="25"/>
        <v>4.3114953054093508E-3</v>
      </c>
      <c r="M118">
        <f t="shared" si="26"/>
        <v>95.811006786874458</v>
      </c>
      <c r="O118">
        <v>6.1999999999999998E-3</v>
      </c>
      <c r="P118">
        <f t="shared" si="19"/>
        <v>-1.0462337662337689E-3</v>
      </c>
      <c r="Q118">
        <f t="shared" si="20"/>
        <v>1.4902802490785797E-11</v>
      </c>
      <c r="R118">
        <f t="shared" si="27"/>
        <v>1.5157826857497823E-4</v>
      </c>
      <c r="S118">
        <f t="shared" si="21"/>
        <v>5.0778719972617709E-3</v>
      </c>
      <c r="T118">
        <f t="shared" si="28"/>
        <v>-6.1241057634955397E-3</v>
      </c>
      <c r="U118">
        <f t="shared" si="29"/>
        <v>-6.4733424269018385E-3</v>
      </c>
    </row>
    <row r="119" spans="2:21" x14ac:dyDescent="0.25">
      <c r="B119">
        <v>300</v>
      </c>
      <c r="C119">
        <v>2.3999999999999998E-3</v>
      </c>
      <c r="D119">
        <v>5.3E-3</v>
      </c>
      <c r="E119">
        <f t="shared" si="15"/>
        <v>1.2052490074297436E-11</v>
      </c>
      <c r="F119">
        <f t="shared" si="16"/>
        <v>5.8528138528138457E-3</v>
      </c>
      <c r="G119">
        <f t="shared" si="22"/>
        <v>1.6234366617147027E-4</v>
      </c>
      <c r="H119">
        <f t="shared" si="17"/>
        <v>1.1328043552856114E-11</v>
      </c>
      <c r="I119">
        <f t="shared" si="23"/>
        <v>1.5258557439865389E-4</v>
      </c>
      <c r="J119">
        <f t="shared" si="24"/>
        <v>5.1703621884983866E-3</v>
      </c>
      <c r="K119">
        <f t="shared" si="18"/>
        <v>9.4818181818181746E-3</v>
      </c>
      <c r="L119">
        <f t="shared" si="25"/>
        <v>4.311455993319788E-3</v>
      </c>
      <c r="M119">
        <f t="shared" si="26"/>
        <v>95.810133184884165</v>
      </c>
      <c r="O119">
        <v>6.1000000000000004E-3</v>
      </c>
      <c r="P119">
        <f t="shared" si="19"/>
        <v>-1.076623376623378E-3</v>
      </c>
      <c r="Q119">
        <f t="shared" si="20"/>
        <v>1.1199334780011209E-11</v>
      </c>
      <c r="R119">
        <f t="shared" si="27"/>
        <v>1.5085190327150379E-4</v>
      </c>
      <c r="S119">
        <f t="shared" si="21"/>
        <v>5.0535387595953768E-3</v>
      </c>
      <c r="T119">
        <f t="shared" si="28"/>
        <v>-6.1301621362187548E-3</v>
      </c>
      <c r="U119">
        <f t="shared" si="29"/>
        <v>-6.479395615295252E-3</v>
      </c>
    </row>
    <row r="120" spans="2:21" x14ac:dyDescent="0.25">
      <c r="B120">
        <v>301</v>
      </c>
      <c r="C120">
        <v>2.3E-3</v>
      </c>
      <c r="D120">
        <v>5.5999999999999999E-3</v>
      </c>
      <c r="E120">
        <f t="shared" si="15"/>
        <v>9.0573481973122427E-12</v>
      </c>
      <c r="F120">
        <f t="shared" si="16"/>
        <v>5.924632034632029E-3</v>
      </c>
      <c r="G120">
        <f t="shared" si="22"/>
        <v>1.6433573822900336E-4</v>
      </c>
      <c r="H120">
        <f t="shared" si="17"/>
        <v>8.5129325326174776E-12</v>
      </c>
      <c r="I120">
        <f t="shared" si="23"/>
        <v>1.5445790774131196E-4</v>
      </c>
      <c r="J120">
        <f t="shared" si="24"/>
        <v>5.2338062038143557E-3</v>
      </c>
      <c r="K120">
        <f t="shared" si="18"/>
        <v>1.005688311688311E-2</v>
      </c>
      <c r="L120">
        <f t="shared" si="25"/>
        <v>4.8230769130687542E-3</v>
      </c>
      <c r="M120">
        <f t="shared" si="26"/>
        <v>107.17948695708343</v>
      </c>
      <c r="O120">
        <v>6.1000000000000004E-3</v>
      </c>
      <c r="P120">
        <f t="shared" si="19"/>
        <v>-1.0070129870129877E-3</v>
      </c>
      <c r="Q120">
        <f t="shared" si="20"/>
        <v>8.4162089373671401E-12</v>
      </c>
      <c r="R120">
        <f t="shared" si="27"/>
        <v>1.5270296323842265E-4</v>
      </c>
      <c r="S120">
        <f t="shared" si="21"/>
        <v>5.1155492684871583E-3</v>
      </c>
      <c r="T120">
        <f t="shared" si="28"/>
        <v>-6.122562255500146E-3</v>
      </c>
      <c r="U120">
        <f t="shared" si="29"/>
        <v>-6.5132376869122561E-3</v>
      </c>
    </row>
    <row r="121" spans="2:21" x14ac:dyDescent="0.25">
      <c r="B121">
        <v>302</v>
      </c>
      <c r="C121">
        <v>2.2000000000000001E-3</v>
      </c>
      <c r="D121">
        <v>5.1999999999999998E-3</v>
      </c>
      <c r="E121">
        <f t="shared" si="15"/>
        <v>6.8065234537965263E-12</v>
      </c>
      <c r="F121">
        <f t="shared" si="16"/>
        <v>5.9964502164502123E-3</v>
      </c>
      <c r="G121">
        <f t="shared" si="22"/>
        <v>1.6632781028653646E-4</v>
      </c>
      <c r="H121">
        <f t="shared" si="17"/>
        <v>6.397399512700968E-12</v>
      </c>
      <c r="I121">
        <f t="shared" si="23"/>
        <v>1.5633024108397005E-4</v>
      </c>
      <c r="J121">
        <f t="shared" si="24"/>
        <v>5.2972502191303249E-3</v>
      </c>
      <c r="K121">
        <f t="shared" si="18"/>
        <v>9.9319480519480426E-3</v>
      </c>
      <c r="L121">
        <f t="shared" si="25"/>
        <v>4.6346978328177177E-3</v>
      </c>
      <c r="M121">
        <f t="shared" si="26"/>
        <v>102.99328517372706</v>
      </c>
      <c r="O121">
        <v>5.5999999999999999E-3</v>
      </c>
      <c r="P121">
        <f t="shared" si="19"/>
        <v>-1.4374025974026013E-3</v>
      </c>
      <c r="Q121">
        <f t="shared" si="20"/>
        <v>6.3247125180900824E-12</v>
      </c>
      <c r="R121">
        <f t="shared" si="27"/>
        <v>1.5455402320534151E-4</v>
      </c>
      <c r="S121">
        <f t="shared" si="21"/>
        <v>5.1775597773789407E-3</v>
      </c>
      <c r="T121">
        <f t="shared" si="28"/>
        <v>-6.614962374781542E-3</v>
      </c>
      <c r="U121">
        <f t="shared" si="29"/>
        <v>-6.9903788584777917E-3</v>
      </c>
    </row>
    <row r="122" spans="2:21" x14ac:dyDescent="0.25">
      <c r="B122">
        <v>303</v>
      </c>
      <c r="C122">
        <v>2.2000000000000001E-3</v>
      </c>
      <c r="D122">
        <v>5.1000000000000004E-3</v>
      </c>
      <c r="E122">
        <f t="shared" si="15"/>
        <v>5.1150469781906145E-12</v>
      </c>
      <c r="F122">
        <f t="shared" si="16"/>
        <v>6.168268398268395E-3</v>
      </c>
      <c r="G122">
        <f t="shared" si="22"/>
        <v>1.7109365356341938E-4</v>
      </c>
      <c r="H122">
        <f t="shared" si="17"/>
        <v>4.8075936662595405E-12</v>
      </c>
      <c r="I122">
        <f t="shared" si="23"/>
        <v>1.6080962085311397E-4</v>
      </c>
      <c r="J122">
        <f t="shared" si="24"/>
        <v>5.4490340026077666E-3</v>
      </c>
      <c r="K122">
        <f t="shared" si="18"/>
        <v>1.0107012987012991E-2</v>
      </c>
      <c r="L122">
        <f t="shared" si="25"/>
        <v>4.6579789844052241E-3</v>
      </c>
      <c r="M122">
        <f t="shared" si="26"/>
        <v>103.51064409789386</v>
      </c>
      <c r="O122">
        <v>6.0000000000000001E-3</v>
      </c>
      <c r="P122">
        <f t="shared" si="19"/>
        <v>-9.6779220779221083E-4</v>
      </c>
      <c r="Q122">
        <f t="shared" si="20"/>
        <v>4.7529699813986904E-12</v>
      </c>
      <c r="R122">
        <f t="shared" si="27"/>
        <v>1.5898250844265365E-4</v>
      </c>
      <c r="S122">
        <f t="shared" si="21"/>
        <v>5.3259140328288969E-3</v>
      </c>
      <c r="T122">
        <f t="shared" si="28"/>
        <v>-6.2937062406211077E-3</v>
      </c>
      <c r="U122">
        <f t="shared" si="29"/>
        <v>-6.6710085275305661E-3</v>
      </c>
    </row>
    <row r="123" spans="2:21" x14ac:dyDescent="0.25">
      <c r="B123">
        <v>304</v>
      </c>
      <c r="C123">
        <v>1.9E-3</v>
      </c>
      <c r="D123">
        <v>4.8999999999999998E-3</v>
      </c>
      <c r="E123">
        <f t="shared" si="15"/>
        <v>3.8439161734619912E-12</v>
      </c>
      <c r="F123">
        <f t="shared" si="16"/>
        <v>6.0400865800865769E-3</v>
      </c>
      <c r="G123">
        <f t="shared" si="22"/>
        <v>1.6753818318225277E-4</v>
      </c>
      <c r="H123">
        <f t="shared" si="17"/>
        <v>3.6128675118650721E-12</v>
      </c>
      <c r="I123">
        <f t="shared" si="23"/>
        <v>1.5746786134280028E-4</v>
      </c>
      <c r="J123">
        <f t="shared" si="24"/>
        <v>5.3357984816007871E-3</v>
      </c>
      <c r="K123">
        <f t="shared" si="18"/>
        <v>1.0182077922077924E-2</v>
      </c>
      <c r="L123">
        <f t="shared" si="25"/>
        <v>4.8462794404771367E-3</v>
      </c>
      <c r="M123">
        <f t="shared" si="26"/>
        <v>107.6950986772697</v>
      </c>
      <c r="O123">
        <v>5.5999999999999999E-3</v>
      </c>
      <c r="P123">
        <f t="shared" si="19"/>
        <v>-1.2981818181818207E-3</v>
      </c>
      <c r="Q123">
        <f t="shared" si="20"/>
        <v>3.5718182572666345E-12</v>
      </c>
      <c r="R123">
        <f t="shared" si="27"/>
        <v>1.5567871786878587E-4</v>
      </c>
      <c r="S123">
        <f t="shared" si="21"/>
        <v>5.2152370486043265E-3</v>
      </c>
      <c r="T123">
        <f t="shared" si="28"/>
        <v>-6.5134188667861472E-3</v>
      </c>
      <c r="U123">
        <f t="shared" si="29"/>
        <v>-6.9059737327518628E-3</v>
      </c>
    </row>
    <row r="124" spans="2:21" x14ac:dyDescent="0.25">
      <c r="B124">
        <v>305</v>
      </c>
      <c r="C124">
        <v>1.8E-3</v>
      </c>
      <c r="D124">
        <v>5.0000000000000001E-3</v>
      </c>
      <c r="E124">
        <f t="shared" si="15"/>
        <v>2.8886717192633593E-12</v>
      </c>
      <c r="F124">
        <f t="shared" si="16"/>
        <v>6.1119047619047594E-3</v>
      </c>
      <c r="G124">
        <f t="shared" si="22"/>
        <v>1.6953025523978586E-4</v>
      </c>
      <c r="H124">
        <f t="shared" si="17"/>
        <v>2.7150405305458486E-12</v>
      </c>
      <c r="I124">
        <f t="shared" si="23"/>
        <v>1.5934019468545835E-4</v>
      </c>
      <c r="J124">
        <f t="shared" si="24"/>
        <v>5.3992424969167563E-3</v>
      </c>
      <c r="K124">
        <f t="shared" si="18"/>
        <v>1.0557142857142859E-2</v>
      </c>
      <c r="L124">
        <f t="shared" si="25"/>
        <v>5.1579003602261024E-3</v>
      </c>
      <c r="M124">
        <f t="shared" si="26"/>
        <v>114.62000800502449</v>
      </c>
      <c r="O124">
        <v>5.3E-3</v>
      </c>
      <c r="P124">
        <f t="shared" si="19"/>
        <v>-1.5285714285714304E-3</v>
      </c>
      <c r="Q124">
        <f t="shared" si="20"/>
        <v>2.6841923498092349E-12</v>
      </c>
      <c r="R124">
        <f t="shared" si="27"/>
        <v>1.5752977783570473E-4</v>
      </c>
      <c r="S124">
        <f t="shared" si="21"/>
        <v>5.2772475574961088E-3</v>
      </c>
      <c r="T124">
        <f t="shared" si="28"/>
        <v>-6.8058189860675392E-3</v>
      </c>
      <c r="U124">
        <f t="shared" si="29"/>
        <v>-7.2236155472113041E-3</v>
      </c>
    </row>
    <row r="125" spans="2:21" x14ac:dyDescent="0.25">
      <c r="B125">
        <v>306</v>
      </c>
      <c r="C125">
        <v>2E-3</v>
      </c>
      <c r="D125">
        <v>5.1000000000000004E-3</v>
      </c>
      <c r="E125">
        <f t="shared" si="15"/>
        <v>2.1708132865334035E-12</v>
      </c>
      <c r="F125">
        <f t="shared" si="16"/>
        <v>6.4837229437229426E-3</v>
      </c>
      <c r="G125">
        <f t="shared" si="22"/>
        <v>1.7984364095536843E-4</v>
      </c>
      <c r="H125">
        <f t="shared" si="17"/>
        <v>2.0403308613720287E-12</v>
      </c>
      <c r="I125">
        <f t="shared" si="23"/>
        <v>1.6903366730757405E-4</v>
      </c>
      <c r="J125">
        <f t="shared" si="24"/>
        <v>5.7277058167171458E-3</v>
      </c>
      <c r="K125">
        <f t="shared" si="18"/>
        <v>1.0932207792207792E-2</v>
      </c>
      <c r="L125">
        <f t="shared" si="25"/>
        <v>5.204501975490646E-3</v>
      </c>
      <c r="M125">
        <f t="shared" si="26"/>
        <v>115.65559945534768</v>
      </c>
      <c r="O125">
        <v>5.4000000000000003E-3</v>
      </c>
      <c r="P125">
        <f t="shared" si="19"/>
        <v>-1.3589610389610398E-3</v>
      </c>
      <c r="Q125">
        <f t="shared" si="20"/>
        <v>2.0171487046174702E-12</v>
      </c>
      <c r="R125">
        <f t="shared" si="27"/>
        <v>1.6711311361380349E-4</v>
      </c>
      <c r="S125">
        <f t="shared" si="21"/>
        <v>5.5982893060624169E-3</v>
      </c>
      <c r="T125">
        <f t="shared" si="28"/>
        <v>-6.9572503450234567E-3</v>
      </c>
      <c r="U125">
        <f t="shared" si="29"/>
        <v>-7.3788216969234389E-3</v>
      </c>
    </row>
    <row r="126" spans="2:21" x14ac:dyDescent="0.25">
      <c r="B126">
        <v>307</v>
      </c>
      <c r="C126">
        <v>1.8E-3</v>
      </c>
      <c r="D126">
        <v>4.7999999999999996E-3</v>
      </c>
      <c r="E126">
        <f t="shared" si="15"/>
        <v>1.6313485168857038E-12</v>
      </c>
      <c r="F126">
        <f t="shared" si="16"/>
        <v>6.4555411255411178E-3</v>
      </c>
      <c r="G126">
        <f t="shared" si="22"/>
        <v>1.7906194179355148E-4</v>
      </c>
      <c r="H126">
        <f t="shared" si="17"/>
        <v>1.5332920363550447E-12</v>
      </c>
      <c r="I126">
        <f t="shared" si="23"/>
        <v>1.6829895422374602E-4</v>
      </c>
      <c r="J126">
        <f t="shared" si="24"/>
        <v>5.7028100638716337E-3</v>
      </c>
      <c r="K126">
        <f t="shared" si="18"/>
        <v>1.0907272727272724E-2</v>
      </c>
      <c r="L126">
        <f t="shared" si="25"/>
        <v>5.2044626634010901E-3</v>
      </c>
      <c r="M126">
        <f t="shared" si="26"/>
        <v>115.65472585335755</v>
      </c>
      <c r="O126">
        <v>5.1000000000000004E-3</v>
      </c>
      <c r="P126">
        <f t="shared" si="19"/>
        <v>-1.5893506493506529E-3</v>
      </c>
      <c r="Q126">
        <f t="shared" si="20"/>
        <v>1.5158708342303085E-12</v>
      </c>
      <c r="R126">
        <f t="shared" si="27"/>
        <v>1.6638674831032882E-4</v>
      </c>
      <c r="S126">
        <f t="shared" si="21"/>
        <v>5.573956068396016E-3</v>
      </c>
      <c r="T126">
        <f t="shared" si="28"/>
        <v>-7.1633067177466689E-3</v>
      </c>
      <c r="U126">
        <f t="shared" si="29"/>
        <v>-7.5848748853168495E-3</v>
      </c>
    </row>
    <row r="127" spans="2:21" x14ac:dyDescent="0.25">
      <c r="B127">
        <v>308</v>
      </c>
      <c r="C127">
        <v>1.8E-3</v>
      </c>
      <c r="D127">
        <v>4.7999999999999996E-3</v>
      </c>
      <c r="E127">
        <f t="shared" si="15"/>
        <v>1.2259451331233757E-12</v>
      </c>
      <c r="F127">
        <f t="shared" si="16"/>
        <v>6.6273593073593005E-3</v>
      </c>
      <c r="G127">
        <f t="shared" si="22"/>
        <v>1.838277850704344E-4</v>
      </c>
      <c r="H127">
        <f t="shared" si="17"/>
        <v>1.1522564860724946E-12</v>
      </c>
      <c r="I127">
        <f t="shared" si="23"/>
        <v>1.7277833399288996E-4</v>
      </c>
      <c r="J127">
        <f t="shared" si="24"/>
        <v>5.8545938473490763E-3</v>
      </c>
      <c r="K127">
        <f t="shared" si="18"/>
        <v>1.1182337662337657E-2</v>
      </c>
      <c r="L127">
        <f t="shared" si="25"/>
        <v>5.3277438149885812E-3</v>
      </c>
      <c r="M127">
        <f t="shared" si="26"/>
        <v>118.39430699974623</v>
      </c>
      <c r="O127">
        <v>4.8999999999999998E-3</v>
      </c>
      <c r="P127">
        <f t="shared" si="19"/>
        <v>-1.7197402597402631E-3</v>
      </c>
      <c r="Q127">
        <f t="shared" si="20"/>
        <v>1.1391645944644702E-12</v>
      </c>
      <c r="R127">
        <f t="shared" si="27"/>
        <v>1.7081523354764094E-4</v>
      </c>
      <c r="S127">
        <f t="shared" si="21"/>
        <v>5.7223103238459713E-3</v>
      </c>
      <c r="T127">
        <f t="shared" si="28"/>
        <v>-7.4420505835862344E-3</v>
      </c>
      <c r="U127">
        <f t="shared" si="29"/>
        <v>-7.8736046829484055E-3</v>
      </c>
    </row>
    <row r="128" spans="2:21" x14ac:dyDescent="0.25">
      <c r="B128">
        <v>309</v>
      </c>
      <c r="C128">
        <v>1.6000000000000001E-3</v>
      </c>
      <c r="D128">
        <v>4.7000000000000002E-3</v>
      </c>
      <c r="E128">
        <f t="shared" si="15"/>
        <v>9.2128778974712796E-13</v>
      </c>
      <c r="F128">
        <f t="shared" si="16"/>
        <v>6.5991774891774836E-3</v>
      </c>
      <c r="G128">
        <f t="shared" si="22"/>
        <v>1.8304608590861764E-4</v>
      </c>
      <c r="H128">
        <f t="shared" si="17"/>
        <v>8.6591137122992996E-13</v>
      </c>
      <c r="I128">
        <f t="shared" si="23"/>
        <v>1.7204362090906215E-4</v>
      </c>
      <c r="J128">
        <f t="shared" si="24"/>
        <v>5.8296980945035711E-3</v>
      </c>
      <c r="K128">
        <f t="shared" si="18"/>
        <v>1.1357402597402592E-2</v>
      </c>
      <c r="L128">
        <f t="shared" si="25"/>
        <v>5.5277045028990206E-3</v>
      </c>
      <c r="M128">
        <f t="shared" si="26"/>
        <v>122.83787784220046</v>
      </c>
      <c r="O128">
        <v>5.0000000000000001E-3</v>
      </c>
      <c r="P128">
        <f t="shared" si="19"/>
        <v>-1.5501298701298726E-3</v>
      </c>
      <c r="Q128">
        <f t="shared" si="20"/>
        <v>8.5607292123956482E-13</v>
      </c>
      <c r="R128">
        <f t="shared" si="27"/>
        <v>1.7008886824416652E-4</v>
      </c>
      <c r="S128">
        <f t="shared" si="21"/>
        <v>5.6979770861795781E-3</v>
      </c>
      <c r="T128">
        <f t="shared" si="28"/>
        <v>-7.2481069563094507E-3</v>
      </c>
      <c r="U128">
        <f t="shared" si="29"/>
        <v>-7.6958581284993837E-3</v>
      </c>
    </row>
    <row r="129" spans="2:21" x14ac:dyDescent="0.25">
      <c r="B129">
        <v>310</v>
      </c>
      <c r="C129">
        <v>1.4E-3</v>
      </c>
      <c r="D129">
        <v>4.7000000000000002E-3</v>
      </c>
      <c r="E129">
        <f t="shared" si="15"/>
        <v>6.9234027576316793E-13</v>
      </c>
      <c r="F129">
        <f t="shared" si="16"/>
        <v>6.5709956709956666E-3</v>
      </c>
      <c r="G129">
        <f t="shared" si="22"/>
        <v>1.8226438674680091E-4</v>
      </c>
      <c r="H129">
        <f t="shared" si="17"/>
        <v>6.5072534794837856E-13</v>
      </c>
      <c r="I129">
        <f t="shared" si="23"/>
        <v>1.7130890782523435E-4</v>
      </c>
      <c r="J129">
        <f t="shared" si="24"/>
        <v>5.8048023416580651E-3</v>
      </c>
      <c r="K129">
        <f t="shared" si="18"/>
        <v>1.1632467532467525E-2</v>
      </c>
      <c r="L129">
        <f t="shared" si="25"/>
        <v>5.8276651908094603E-3</v>
      </c>
      <c r="M129">
        <f t="shared" si="26"/>
        <v>129.50367090687689</v>
      </c>
      <c r="O129">
        <v>4.7999999999999996E-3</v>
      </c>
      <c r="P129">
        <f t="shared" si="19"/>
        <v>-1.6805194805194828E-3</v>
      </c>
      <c r="Q129">
        <f t="shared" si="20"/>
        <v>6.433318328543804E-13</v>
      </c>
      <c r="R129">
        <f t="shared" si="27"/>
        <v>1.6936250294069205E-4</v>
      </c>
      <c r="S129">
        <f t="shared" si="21"/>
        <v>5.6736438485131832E-3</v>
      </c>
      <c r="T129">
        <f t="shared" si="28"/>
        <v>-7.3541633290326661E-3</v>
      </c>
      <c r="U129">
        <f t="shared" si="29"/>
        <v>-7.8262117026291437E-3</v>
      </c>
    </row>
    <row r="130" spans="2:21" x14ac:dyDescent="0.25">
      <c r="B130">
        <v>311</v>
      </c>
      <c r="C130">
        <v>1.4E-3</v>
      </c>
      <c r="D130">
        <v>4.4999999999999997E-3</v>
      </c>
      <c r="E130">
        <f t="shared" si="15"/>
        <v>5.2028808237585098E-13</v>
      </c>
      <c r="F130">
        <f t="shared" si="16"/>
        <v>6.7428138528138493E-3</v>
      </c>
      <c r="G130">
        <f t="shared" si="22"/>
        <v>1.8703023002368383E-4</v>
      </c>
      <c r="H130">
        <f t="shared" si="17"/>
        <v>4.8901480282108362E-13</v>
      </c>
      <c r="I130">
        <f t="shared" si="23"/>
        <v>1.7578828759437829E-4</v>
      </c>
      <c r="J130">
        <f t="shared" si="24"/>
        <v>5.9565861251355077E-3</v>
      </c>
      <c r="K130">
        <f t="shared" si="18"/>
        <v>1.170753246753246E-2</v>
      </c>
      <c r="L130">
        <f t="shared" si="25"/>
        <v>5.7509463423969526E-3</v>
      </c>
      <c r="M130">
        <f t="shared" si="26"/>
        <v>127.79880760882116</v>
      </c>
      <c r="O130">
        <v>5.0000000000000001E-3</v>
      </c>
      <c r="P130">
        <f t="shared" si="19"/>
        <v>-1.410909090909092E-3</v>
      </c>
      <c r="Q130">
        <f t="shared" si="20"/>
        <v>4.8345863640272408E-13</v>
      </c>
      <c r="R130">
        <f t="shared" si="27"/>
        <v>1.7379098817800424E-4</v>
      </c>
      <c r="S130">
        <f t="shared" si="21"/>
        <v>5.821998103963142E-3</v>
      </c>
      <c r="T130">
        <f t="shared" si="28"/>
        <v>-7.232907194872234E-3</v>
      </c>
      <c r="U130">
        <f t="shared" si="29"/>
        <v>-7.6987412431031368E-3</v>
      </c>
    </row>
    <row r="131" spans="2:21" x14ac:dyDescent="0.25">
      <c r="B131">
        <v>312</v>
      </c>
      <c r="C131">
        <v>1.1000000000000001E-3</v>
      </c>
      <c r="D131">
        <v>4.4999999999999997E-3</v>
      </c>
      <c r="E131">
        <f t="shared" si="15"/>
        <v>3.9099225935389581E-13</v>
      </c>
      <c r="F131">
        <f t="shared" si="16"/>
        <v>6.6146320346320321E-3</v>
      </c>
      <c r="G131">
        <f t="shared" si="22"/>
        <v>1.8347475964251725E-4</v>
      </c>
      <c r="H131">
        <f t="shared" si="17"/>
        <v>3.6749064429731382E-13</v>
      </c>
      <c r="I131">
        <f t="shared" si="23"/>
        <v>1.7244652808406458E-4</v>
      </c>
      <c r="J131">
        <f t="shared" si="24"/>
        <v>5.8433506041285282E-3</v>
      </c>
      <c r="K131">
        <f t="shared" si="18"/>
        <v>1.1982597402597394E-2</v>
      </c>
      <c r="L131">
        <f t="shared" si="25"/>
        <v>6.1392467984688658E-3</v>
      </c>
      <c r="M131">
        <f t="shared" si="26"/>
        <v>136.42770663264145</v>
      </c>
      <c r="O131">
        <v>4.7999999999999996E-3</v>
      </c>
      <c r="P131">
        <f t="shared" si="19"/>
        <v>-1.5412987012987057E-3</v>
      </c>
      <c r="Q131">
        <f t="shared" si="20"/>
        <v>3.6331523045477392E-13</v>
      </c>
      <c r="R131">
        <f t="shared" si="27"/>
        <v>1.7048719760413646E-4</v>
      </c>
      <c r="S131">
        <f t="shared" si="21"/>
        <v>5.7113211197385716E-3</v>
      </c>
      <c r="T131">
        <f t="shared" si="28"/>
        <v>-7.2526198210372773E-3</v>
      </c>
      <c r="U131">
        <f t="shared" si="29"/>
        <v>-7.7499067054820018E-3</v>
      </c>
    </row>
    <row r="132" spans="2:21" x14ac:dyDescent="0.25">
      <c r="B132">
        <v>313</v>
      </c>
      <c r="C132">
        <v>1.1000000000000001E-3</v>
      </c>
      <c r="D132">
        <v>4.1999999999999997E-3</v>
      </c>
      <c r="E132">
        <f t="shared" si="15"/>
        <v>2.9382750067342255E-13</v>
      </c>
      <c r="F132">
        <f t="shared" si="16"/>
        <v>6.7864502164502148E-3</v>
      </c>
      <c r="G132">
        <f t="shared" si="22"/>
        <v>1.8824060291940017E-4</v>
      </c>
      <c r="H132">
        <f t="shared" si="17"/>
        <v>2.7616622823474216E-13</v>
      </c>
      <c r="I132">
        <f t="shared" si="23"/>
        <v>1.7692590785320855E-4</v>
      </c>
      <c r="J132">
        <f t="shared" si="24"/>
        <v>5.9951343876059717E-3</v>
      </c>
      <c r="K132">
        <f t="shared" si="18"/>
        <v>1.195766233766234E-2</v>
      </c>
      <c r="L132">
        <f t="shared" si="25"/>
        <v>5.9625279500563682E-3</v>
      </c>
      <c r="M132">
        <f t="shared" si="26"/>
        <v>132.50062111236372</v>
      </c>
      <c r="O132">
        <v>4.8999999999999998E-3</v>
      </c>
      <c r="P132">
        <f t="shared" si="19"/>
        <v>-1.3716883116883152E-3</v>
      </c>
      <c r="Q132">
        <f t="shared" si="20"/>
        <v>2.7302843871517967E-13</v>
      </c>
      <c r="R132">
        <f t="shared" si="27"/>
        <v>1.7491568284144866E-4</v>
      </c>
      <c r="S132">
        <f t="shared" si="21"/>
        <v>5.8596753751885304E-3</v>
      </c>
      <c r="T132">
        <f t="shared" si="28"/>
        <v>-7.2313636868768455E-3</v>
      </c>
      <c r="U132">
        <f t="shared" si="29"/>
        <v>-7.7143361173772152E-3</v>
      </c>
    </row>
    <row r="133" spans="2:21" x14ac:dyDescent="0.25">
      <c r="B133">
        <v>314</v>
      </c>
      <c r="C133">
        <v>6.9999999999999999E-4</v>
      </c>
      <c r="D133">
        <v>4.0000000000000001E-3</v>
      </c>
      <c r="E133">
        <f t="shared" si="15"/>
        <v>2.208089753353569E-13</v>
      </c>
      <c r="F133">
        <f t="shared" si="16"/>
        <v>6.5582683982683973E-3</v>
      </c>
      <c r="G133">
        <f t="shared" si="22"/>
        <v>1.8191136131888376E-4</v>
      </c>
      <c r="H133">
        <f t="shared" si="17"/>
        <v>2.0753667284030204E-13</v>
      </c>
      <c r="I133">
        <f t="shared" si="23"/>
        <v>1.7097710191640899E-4</v>
      </c>
      <c r="J133">
        <f t="shared" si="24"/>
        <v>5.7935590984375179E-3</v>
      </c>
      <c r="K133">
        <f t="shared" si="18"/>
        <v>1.2032727272727275E-2</v>
      </c>
      <c r="L133">
        <f t="shared" si="25"/>
        <v>6.2391681742897569E-3</v>
      </c>
      <c r="M133">
        <f t="shared" si="26"/>
        <v>138.64818165088349</v>
      </c>
      <c r="O133">
        <v>4.4000000000000003E-3</v>
      </c>
      <c r="P133">
        <f t="shared" si="19"/>
        <v>-1.8020779220779245E-3</v>
      </c>
      <c r="Q133">
        <f t="shared" si="20"/>
        <v>2.051786495543786E-13</v>
      </c>
      <c r="R133">
        <f t="shared" si="27"/>
        <v>1.6903446699718759E-4</v>
      </c>
      <c r="S133">
        <f t="shared" si="21"/>
        <v>5.6626546444057844E-3</v>
      </c>
      <c r="T133">
        <f t="shared" si="28"/>
        <v>-7.4647325664837089E-3</v>
      </c>
      <c r="U133">
        <f t="shared" si="29"/>
        <v>-7.9701132108476128E-3</v>
      </c>
    </row>
    <row r="134" spans="2:21" x14ac:dyDescent="0.25">
      <c r="B134">
        <v>315</v>
      </c>
      <c r="C134">
        <v>8.0000000000000004E-4</v>
      </c>
      <c r="D134">
        <v>4.1000000000000003E-3</v>
      </c>
      <c r="E134">
        <f t="shared" si="15"/>
        <v>1.6593614783131355E-13</v>
      </c>
      <c r="F134">
        <f t="shared" si="16"/>
        <v>6.8300865800865734E-3</v>
      </c>
      <c r="G134">
        <f t="shared" si="22"/>
        <v>1.8945097581511632E-4</v>
      </c>
      <c r="H134">
        <f t="shared" si="17"/>
        <v>1.5596212052768387E-13</v>
      </c>
      <c r="I134">
        <f t="shared" si="23"/>
        <v>1.7806352811203862E-4</v>
      </c>
      <c r="J134">
        <f t="shared" si="24"/>
        <v>6.0336826500764279E-3</v>
      </c>
      <c r="K134">
        <f t="shared" si="18"/>
        <v>1.2407792207792208E-2</v>
      </c>
      <c r="L134">
        <f t="shared" si="25"/>
        <v>6.37410955771578E-3</v>
      </c>
      <c r="M134">
        <f t="shared" si="26"/>
        <v>141.64687906035067</v>
      </c>
      <c r="O134">
        <v>4.4000000000000003E-3</v>
      </c>
      <c r="P134">
        <f t="shared" si="19"/>
        <v>-1.7324675324675342E-3</v>
      </c>
      <c r="Q134">
        <f t="shared" si="20"/>
        <v>1.5419008521993243E-13</v>
      </c>
      <c r="R134">
        <f t="shared" si="27"/>
        <v>1.7604037750489285E-4</v>
      </c>
      <c r="S134">
        <f t="shared" si="21"/>
        <v>5.8973526464139109E-3</v>
      </c>
      <c r="T134">
        <f t="shared" si="28"/>
        <v>-7.6298201788814451E-3</v>
      </c>
      <c r="U134">
        <f t="shared" si="29"/>
        <v>-8.1461312488088442E-3</v>
      </c>
    </row>
    <row r="135" spans="2:21" x14ac:dyDescent="0.25">
      <c r="B135">
        <v>316</v>
      </c>
      <c r="C135">
        <v>1E-3</v>
      </c>
      <c r="D135">
        <v>4.3E-3</v>
      </c>
      <c r="E135">
        <f t="shared" si="15"/>
        <v>1.2469966456425357E-13</v>
      </c>
      <c r="F135">
        <f t="shared" si="16"/>
        <v>7.2019047619047557E-3</v>
      </c>
      <c r="G135">
        <f t="shared" si="22"/>
        <v>1.9976436153069889E-4</v>
      </c>
      <c r="H135">
        <f t="shared" si="17"/>
        <v>1.1720426422278188E-13</v>
      </c>
      <c r="I135">
        <f t="shared" si="23"/>
        <v>1.8775700073415434E-4</v>
      </c>
      <c r="J135">
        <f t="shared" si="24"/>
        <v>6.3621459698768191E-3</v>
      </c>
      <c r="K135">
        <f t="shared" si="18"/>
        <v>1.2882857142857142E-2</v>
      </c>
      <c r="L135">
        <f t="shared" si="25"/>
        <v>6.520711172980323E-3</v>
      </c>
      <c r="M135">
        <f t="shared" si="26"/>
        <v>144.90469273289605</v>
      </c>
      <c r="O135">
        <v>4.4999999999999997E-3</v>
      </c>
      <c r="P135">
        <f t="shared" si="19"/>
        <v>-1.5628571428571445E-3</v>
      </c>
      <c r="Q135">
        <f t="shared" si="20"/>
        <v>1.1587259411135292E-13</v>
      </c>
      <c r="R135">
        <f t="shared" si="27"/>
        <v>1.8562371328299161E-4</v>
      </c>
      <c r="S135">
        <f t="shared" si="21"/>
        <v>6.218394394980219E-3</v>
      </c>
      <c r="T135">
        <f t="shared" si="28"/>
        <v>-7.7812515378373635E-3</v>
      </c>
      <c r="U135">
        <f t="shared" si="29"/>
        <v>-8.3094375270997608E-3</v>
      </c>
    </row>
    <row r="136" spans="2:21" x14ac:dyDescent="0.25">
      <c r="B136">
        <v>317</v>
      </c>
      <c r="C136">
        <v>8.9999999999999998E-4</v>
      </c>
      <c r="D136">
        <v>3.8999999999999998E-3</v>
      </c>
      <c r="E136">
        <f t="shared" si="15"/>
        <v>9.3710783006997919E-14</v>
      </c>
      <c r="F136">
        <f t="shared" si="16"/>
        <v>7.2737229437229382E-3</v>
      </c>
      <c r="G136">
        <f t="shared" si="22"/>
        <v>2.0175643358823195E-4</v>
      </c>
      <c r="H136">
        <f t="shared" si="17"/>
        <v>8.8078050654391561E-14</v>
      </c>
      <c r="I136">
        <f t="shared" si="23"/>
        <v>1.8962933407681238E-4</v>
      </c>
      <c r="J136">
        <f t="shared" si="24"/>
        <v>6.4255899851927874E-3</v>
      </c>
      <c r="K136">
        <f t="shared" si="18"/>
        <v>1.2757922077922076E-2</v>
      </c>
      <c r="L136">
        <f t="shared" si="25"/>
        <v>6.3323320927292891E-3</v>
      </c>
      <c r="M136">
        <f t="shared" si="26"/>
        <v>140.71849094953976</v>
      </c>
      <c r="O136">
        <v>4.1999999999999997E-3</v>
      </c>
      <c r="P136">
        <f t="shared" si="19"/>
        <v>-1.7932467532467576E-3</v>
      </c>
      <c r="Q136">
        <f t="shared" si="20"/>
        <v>8.7077311403928506E-14</v>
      </c>
      <c r="R136">
        <f t="shared" si="27"/>
        <v>1.8747477324991045E-4</v>
      </c>
      <c r="S136">
        <f t="shared" si="21"/>
        <v>6.2804049038719997E-3</v>
      </c>
      <c r="T136">
        <f t="shared" si="28"/>
        <v>-8.0736516571187564E-3</v>
      </c>
      <c r="U136">
        <f t="shared" si="29"/>
        <v>-8.5865786986652932E-3</v>
      </c>
    </row>
    <row r="137" spans="2:21" x14ac:dyDescent="0.25">
      <c r="B137">
        <v>318</v>
      </c>
      <c r="C137">
        <v>8.0000000000000004E-4</v>
      </c>
      <c r="D137">
        <v>3.8999999999999998E-3</v>
      </c>
      <c r="E137">
        <f t="shared" ref="E137:E200" si="30">(1.1500276+0.0284*$C$4)*EXP((-0.3101349+0.001222*$C$4)*($B137-210))*$C$5/35</f>
        <v>7.0422890730870656E-14</v>
      </c>
      <c r="F137">
        <f t="shared" ref="F137:F200" si="31">C137-($F$5*B137+$F$4)</f>
        <v>7.3455411255411215E-3</v>
      </c>
      <c r="G137">
        <f t="shared" si="22"/>
        <v>2.0374850564576505E-4</v>
      </c>
      <c r="H137">
        <f t="shared" ref="H137:H200" si="32">(1.1500276+0.0284*$D$4)*EXP((-0.3101349+0.001222*$D$4)*($B137-210))*$D$5/35</f>
        <v>6.6189938211903695E-14</v>
      </c>
      <c r="I137">
        <f t="shared" si="23"/>
        <v>1.9150166741947042E-4</v>
      </c>
      <c r="J137">
        <f t="shared" si="24"/>
        <v>6.4890340005087548E-3</v>
      </c>
      <c r="K137">
        <f t="shared" ref="K137:K200" si="33">D137-($K$5*B137+$K$4)</f>
        <v>1.303298701298701E-2</v>
      </c>
      <c r="L137">
        <f t="shared" si="25"/>
        <v>6.5439530124782553E-3</v>
      </c>
      <c r="M137">
        <f t="shared" si="26"/>
        <v>145.42117805507232</v>
      </c>
      <c r="O137">
        <v>4.1000000000000003E-3</v>
      </c>
      <c r="P137">
        <f t="shared" ref="P137:P200" si="34">O137-($O$5*B137+$O$4)</f>
        <v>-1.8236363636363667E-3</v>
      </c>
      <c r="Q137">
        <f t="shared" ref="Q137:Q200" si="35">(1.1500276+0.0284*$O$2)*EXP((-0.3101349+0.001222*$O$2)*($B137-210))*$O$3/35</f>
        <v>6.5437890810056775E-14</v>
      </c>
      <c r="R137">
        <f t="shared" si="27"/>
        <v>1.8932583321682925E-4</v>
      </c>
      <c r="S137">
        <f t="shared" ref="S137:S200" si="36">R137*$O$3</f>
        <v>6.3424154127637803E-3</v>
      </c>
      <c r="T137">
        <f t="shared" si="28"/>
        <v>-8.1660517764001461E-3</v>
      </c>
      <c r="U137">
        <f t="shared" si="29"/>
        <v>-8.6961203845459505E-3</v>
      </c>
    </row>
    <row r="138" spans="2:21" x14ac:dyDescent="0.25">
      <c r="B138">
        <v>319</v>
      </c>
      <c r="C138">
        <v>8.9999999999999998E-4</v>
      </c>
      <c r="D138">
        <v>3.5999999999999999E-3</v>
      </c>
      <c r="E138">
        <f t="shared" si="30"/>
        <v>5.2922229222242248E-14</v>
      </c>
      <c r="F138">
        <f t="shared" si="31"/>
        <v>7.6173593073593036E-3</v>
      </c>
      <c r="G138">
        <f t="shared" ref="G138:G201" si="37">F138/$C$5</f>
        <v>2.1128812014199776E-4</v>
      </c>
      <c r="H138">
        <f t="shared" si="32"/>
        <v>4.974119985564403E-14</v>
      </c>
      <c r="I138">
        <f t="shared" ref="I138:I201" si="38">$G138/$E138*H138</f>
        <v>1.9858809361510024E-4</v>
      </c>
      <c r="J138">
        <f t="shared" ref="J138:J201" si="39">I138*$D$5</f>
        <v>6.7291575521476708E-3</v>
      </c>
      <c r="K138">
        <f t="shared" si="33"/>
        <v>1.3008051948051942E-2</v>
      </c>
      <c r="L138">
        <f t="shared" ref="L138:L201" si="40">K138-J138</f>
        <v>6.2788943959042713E-3</v>
      </c>
      <c r="M138">
        <f t="shared" ref="M138:M201" si="41">L138/($D$6/1000000)</f>
        <v>139.53098657565047</v>
      </c>
      <c r="O138">
        <v>3.8999999999999998E-3</v>
      </c>
      <c r="P138">
        <f t="shared" si="34"/>
        <v>-1.9540259740259769E-3</v>
      </c>
      <c r="Q138">
        <f t="shared" si="35"/>
        <v>4.9176042353964139E-14</v>
      </c>
      <c r="R138">
        <f t="shared" ref="R138:R201" si="42">$G138/$E138*Q138</f>
        <v>1.9633174372453468E-4</v>
      </c>
      <c r="S138">
        <f t="shared" si="36"/>
        <v>6.577113414771912E-3</v>
      </c>
      <c r="T138">
        <f t="shared" ref="T138:T201" si="43">P138-S138</f>
        <v>-8.5311393887978898E-3</v>
      </c>
      <c r="U138">
        <f t="shared" ref="U138:U201" si="44">T138-$T$5/1000000*M138</f>
        <v>-9.0397379081920623E-3</v>
      </c>
    </row>
    <row r="139" spans="2:21" x14ac:dyDescent="0.25">
      <c r="B139">
        <v>320</v>
      </c>
      <c r="C139">
        <v>6.9999999999999999E-4</v>
      </c>
      <c r="D139">
        <v>3.8E-3</v>
      </c>
      <c r="E139">
        <f t="shared" si="30"/>
        <v>3.9770624533931503E-14</v>
      </c>
      <c r="F139">
        <f t="shared" si="31"/>
        <v>7.5891774891774866E-3</v>
      </c>
      <c r="G139">
        <f t="shared" si="37"/>
        <v>2.1050642098018103E-4</v>
      </c>
      <c r="H139">
        <f t="shared" si="32"/>
        <v>3.7380106854883748E-14</v>
      </c>
      <c r="I139">
        <f t="shared" si="38"/>
        <v>1.9785338053127243E-4</v>
      </c>
      <c r="J139">
        <f t="shared" si="39"/>
        <v>6.7042617993021657E-3</v>
      </c>
      <c r="K139">
        <f t="shared" si="33"/>
        <v>1.3483116883116876E-2</v>
      </c>
      <c r="L139">
        <f t="shared" si="40"/>
        <v>6.7788550838147107E-3</v>
      </c>
      <c r="M139">
        <f t="shared" si="41"/>
        <v>150.64122408477135</v>
      </c>
      <c r="O139">
        <v>4.0000000000000001E-3</v>
      </c>
      <c r="P139">
        <f t="shared" si="34"/>
        <v>-1.7844155844155864E-3</v>
      </c>
      <c r="Q139">
        <f t="shared" si="35"/>
        <v>3.6955395592108769E-14</v>
      </c>
      <c r="R139">
        <f t="shared" si="42"/>
        <v>1.9560537842106026E-4</v>
      </c>
      <c r="S139">
        <f t="shared" si="36"/>
        <v>6.5527801771055189E-3</v>
      </c>
      <c r="T139">
        <f t="shared" si="43"/>
        <v>-8.3371957615211052E-3</v>
      </c>
      <c r="U139">
        <f t="shared" si="44"/>
        <v>-8.886291739479385E-3</v>
      </c>
    </row>
    <row r="140" spans="2:21" x14ac:dyDescent="0.25">
      <c r="B140">
        <v>321</v>
      </c>
      <c r="C140">
        <v>1.1000000000000001E-3</v>
      </c>
      <c r="D140">
        <v>3.8E-3</v>
      </c>
      <c r="E140">
        <f t="shared" si="30"/>
        <v>2.9887300649727708E-14</v>
      </c>
      <c r="F140">
        <f t="shared" si="31"/>
        <v>8.1609956709956695E-3</v>
      </c>
      <c r="G140">
        <f t="shared" si="37"/>
        <v>2.2636734913446325E-4</v>
      </c>
      <c r="H140">
        <f t="shared" si="32"/>
        <v>2.8090846070010635E-14</v>
      </c>
      <c r="I140">
        <f t="shared" si="38"/>
        <v>2.1276094600635991E-4</v>
      </c>
      <c r="J140">
        <f t="shared" si="39"/>
        <v>7.2094046554255047E-3</v>
      </c>
      <c r="K140">
        <f t="shared" si="33"/>
        <v>1.375818181818181E-2</v>
      </c>
      <c r="L140">
        <f t="shared" si="40"/>
        <v>6.5487771627563054E-3</v>
      </c>
      <c r="M140">
        <f t="shared" si="41"/>
        <v>145.52838139458456</v>
      </c>
      <c r="O140">
        <v>4.3E-3</v>
      </c>
      <c r="P140">
        <f t="shared" si="34"/>
        <v>-1.4148051948051962E-3</v>
      </c>
      <c r="Q140">
        <f t="shared" si="35"/>
        <v>2.7771679012700495E-14</v>
      </c>
      <c r="R140">
        <f t="shared" si="42"/>
        <v>2.1034356473994561E-4</v>
      </c>
      <c r="S140">
        <f t="shared" si="36"/>
        <v>7.046509418788178E-3</v>
      </c>
      <c r="T140">
        <f t="shared" si="43"/>
        <v>-8.4613146135933751E-3</v>
      </c>
      <c r="U140">
        <f t="shared" si="44"/>
        <v>-8.9917739841145362E-3</v>
      </c>
    </row>
    <row r="141" spans="2:21" x14ac:dyDescent="0.25">
      <c r="B141">
        <v>322</v>
      </c>
      <c r="C141">
        <v>8.9999999999999998E-4</v>
      </c>
      <c r="D141">
        <v>3.8E-3</v>
      </c>
      <c r="E141">
        <f t="shared" si="30"/>
        <v>2.2460063189732184E-14</v>
      </c>
      <c r="F141">
        <f t="shared" si="31"/>
        <v>8.1328138528138447E-3</v>
      </c>
      <c r="G141">
        <f t="shared" si="37"/>
        <v>2.255856499726463E-4</v>
      </c>
      <c r="H141">
        <f t="shared" si="32"/>
        <v>2.1110042194166064E-14</v>
      </c>
      <c r="I141">
        <f t="shared" si="38"/>
        <v>2.1202623292253185E-4</v>
      </c>
      <c r="J141">
        <f t="shared" si="39"/>
        <v>7.1845089025799917E-3</v>
      </c>
      <c r="K141">
        <f t="shared" si="33"/>
        <v>1.4033246753246744E-2</v>
      </c>
      <c r="L141">
        <f t="shared" si="40"/>
        <v>6.848737850666752E-3</v>
      </c>
      <c r="M141">
        <f t="shared" si="41"/>
        <v>152.19417445926115</v>
      </c>
      <c r="O141">
        <v>3.8999999999999998E-3</v>
      </c>
      <c r="P141">
        <f t="shared" si="34"/>
        <v>-1.7451948051948095E-3</v>
      </c>
      <c r="Q141">
        <f t="shared" si="35"/>
        <v>2.0870190748253303E-14</v>
      </c>
      <c r="R141">
        <f t="shared" si="42"/>
        <v>2.0961719943647091E-4</v>
      </c>
      <c r="S141">
        <f t="shared" si="36"/>
        <v>7.0221761811217753E-3</v>
      </c>
      <c r="T141">
        <f t="shared" si="43"/>
        <v>-8.767370986316584E-3</v>
      </c>
      <c r="U141">
        <f t="shared" si="44"/>
        <v>-9.3221275582442888E-3</v>
      </c>
    </row>
    <row r="142" spans="2:21" x14ac:dyDescent="0.25">
      <c r="B142">
        <v>323</v>
      </c>
      <c r="C142">
        <v>8.9999999999999998E-4</v>
      </c>
      <c r="D142">
        <v>4.1000000000000003E-3</v>
      </c>
      <c r="E142">
        <f t="shared" si="30"/>
        <v>1.6878554687787046E-14</v>
      </c>
      <c r="F142">
        <f t="shared" si="31"/>
        <v>8.3046320346320274E-3</v>
      </c>
      <c r="G142">
        <f t="shared" si="37"/>
        <v>2.3035149324952922E-4</v>
      </c>
      <c r="H142">
        <f t="shared" si="32"/>
        <v>1.5864024897250194E-14</v>
      </c>
      <c r="I142">
        <f t="shared" si="38"/>
        <v>2.1650561269167582E-4</v>
      </c>
      <c r="J142">
        <f t="shared" si="39"/>
        <v>7.3362926860574352E-3</v>
      </c>
      <c r="K142">
        <f t="shared" si="33"/>
        <v>1.4608311688311691E-2</v>
      </c>
      <c r="L142">
        <f t="shared" si="40"/>
        <v>7.272019002254256E-3</v>
      </c>
      <c r="M142">
        <f t="shared" si="41"/>
        <v>161.60042227231679</v>
      </c>
      <c r="O142">
        <v>3.8999999999999998E-3</v>
      </c>
      <c r="P142">
        <f t="shared" si="34"/>
        <v>-1.6755844155844192E-3</v>
      </c>
      <c r="Q142">
        <f t="shared" si="35"/>
        <v>1.5683778487763954E-14</v>
      </c>
      <c r="R142">
        <f t="shared" si="42"/>
        <v>2.1404568467378311E-4</v>
      </c>
      <c r="S142">
        <f t="shared" si="36"/>
        <v>7.1705304365717341E-3</v>
      </c>
      <c r="T142">
        <f t="shared" si="43"/>
        <v>-8.8461148521561533E-3</v>
      </c>
      <c r="U142">
        <f t="shared" si="44"/>
        <v>-9.4351577416121948E-3</v>
      </c>
    </row>
    <row r="143" spans="2:21" x14ac:dyDescent="0.25">
      <c r="B143">
        <v>324</v>
      </c>
      <c r="C143">
        <v>2.9999999999999997E-4</v>
      </c>
      <c r="D143">
        <v>3.5999999999999999E-3</v>
      </c>
      <c r="E143">
        <f t="shared" si="30"/>
        <v>1.2684096475688238E-14</v>
      </c>
      <c r="F143">
        <f t="shared" si="31"/>
        <v>7.8764502164502103E-3</v>
      </c>
      <c r="G143">
        <f t="shared" si="37"/>
        <v>2.1847470921031317E-4</v>
      </c>
      <c r="H143">
        <f t="shared" si="32"/>
        <v>1.1921685595215132E-14</v>
      </c>
      <c r="I143">
        <f t="shared" si="38"/>
        <v>2.0534271390190451E-4</v>
      </c>
      <c r="J143">
        <f t="shared" si="39"/>
        <v>6.9580378605660336E-3</v>
      </c>
      <c r="K143">
        <f t="shared" si="33"/>
        <v>1.4383376623376624E-2</v>
      </c>
      <c r="L143">
        <f t="shared" si="40"/>
        <v>7.4253387628105908E-3</v>
      </c>
      <c r="M143">
        <f t="shared" si="41"/>
        <v>165.00752806245757</v>
      </c>
      <c r="O143">
        <v>3.3999999999999998E-3</v>
      </c>
      <c r="P143">
        <f t="shared" si="34"/>
        <v>-2.105974025974029E-3</v>
      </c>
      <c r="Q143">
        <f t="shared" si="35"/>
        <v>1.1786231885486407E-14</v>
      </c>
      <c r="R143">
        <f t="shared" si="42"/>
        <v>2.0300961828873546E-4</v>
      </c>
      <c r="S143">
        <f t="shared" si="36"/>
        <v>6.800822212672638E-3</v>
      </c>
      <c r="T143">
        <f t="shared" si="43"/>
        <v>-8.9067962386466665E-3</v>
      </c>
      <c r="U143">
        <f t="shared" si="44"/>
        <v>-9.5082582258444511E-3</v>
      </c>
    </row>
    <row r="144" spans="2:21" x14ac:dyDescent="0.25">
      <c r="B144">
        <v>325</v>
      </c>
      <c r="C144">
        <v>5.9999999999999995E-4</v>
      </c>
      <c r="D144">
        <v>3.5999999999999999E-3</v>
      </c>
      <c r="E144">
        <f t="shared" si="30"/>
        <v>9.5319952674017591E-15</v>
      </c>
      <c r="F144">
        <f t="shared" si="31"/>
        <v>8.3482683982683929E-3</v>
      </c>
      <c r="G144">
        <f t="shared" si="37"/>
        <v>2.3156186614524556E-4</v>
      </c>
      <c r="H144">
        <f t="shared" si="32"/>
        <v>8.959049695881188E-15</v>
      </c>
      <c r="I144">
        <f t="shared" si="38"/>
        <v>2.1764323295050608E-4</v>
      </c>
      <c r="J144">
        <f t="shared" si="39"/>
        <v>7.3748409485278983E-3</v>
      </c>
      <c r="K144">
        <f t="shared" si="33"/>
        <v>1.4658441558441558E-2</v>
      </c>
      <c r="L144">
        <f t="shared" si="40"/>
        <v>7.2836006099136598E-3</v>
      </c>
      <c r="M144">
        <f t="shared" si="41"/>
        <v>161.85779133141466</v>
      </c>
      <c r="O144">
        <v>3.5000000000000001E-3</v>
      </c>
      <c r="P144">
        <f t="shared" si="34"/>
        <v>-1.9363636363636384E-3</v>
      </c>
      <c r="Q144">
        <f t="shared" si="35"/>
        <v>8.857257335458753E-15</v>
      </c>
      <c r="R144">
        <f t="shared" si="42"/>
        <v>2.1517037933722752E-4</v>
      </c>
      <c r="S144">
        <f t="shared" si="36"/>
        <v>7.2082077077971225E-3</v>
      </c>
      <c r="T144">
        <f t="shared" si="43"/>
        <v>-9.1445713441607613E-3</v>
      </c>
      <c r="U144">
        <f t="shared" si="44"/>
        <v>-9.7345523587287035E-3</v>
      </c>
    </row>
    <row r="145" spans="2:21" x14ac:dyDescent="0.25">
      <c r="B145">
        <v>326</v>
      </c>
      <c r="C145">
        <v>2.9999999999999997E-4</v>
      </c>
      <c r="D145">
        <v>3.3E-3</v>
      </c>
      <c r="E145">
        <f t="shared" si="30"/>
        <v>7.1632168638829984E-15</v>
      </c>
      <c r="F145">
        <f t="shared" si="31"/>
        <v>8.2200865800865757E-3</v>
      </c>
      <c r="G145">
        <f t="shared" si="37"/>
        <v>2.2800639576407898E-4</v>
      </c>
      <c r="H145">
        <f t="shared" si="32"/>
        <v>6.7326529300087482E-15</v>
      </c>
      <c r="I145">
        <f t="shared" si="38"/>
        <v>2.143014734401924E-4</v>
      </c>
      <c r="J145">
        <f t="shared" si="39"/>
        <v>7.2616054275209188E-3</v>
      </c>
      <c r="K145">
        <f t="shared" si="33"/>
        <v>1.4633506493506494E-2</v>
      </c>
      <c r="L145">
        <f t="shared" si="40"/>
        <v>7.3719010659855748E-3</v>
      </c>
      <c r="M145">
        <f t="shared" si="41"/>
        <v>163.82002368856831</v>
      </c>
      <c r="O145">
        <v>3.3999999999999998E-3</v>
      </c>
      <c r="P145">
        <f t="shared" si="34"/>
        <v>-1.9667532467532484E-3</v>
      </c>
      <c r="Q145">
        <f t="shared" si="35"/>
        <v>6.6561567996249994E-15</v>
      </c>
      <c r="R145">
        <f t="shared" si="42"/>
        <v>2.118665887633598E-4</v>
      </c>
      <c r="S145">
        <f t="shared" si="36"/>
        <v>7.0975307235725529E-3</v>
      </c>
      <c r="T145">
        <f t="shared" si="43"/>
        <v>-9.0642839703258017E-3</v>
      </c>
      <c r="U145">
        <f t="shared" si="44"/>
        <v>-9.6614174353712202E-3</v>
      </c>
    </row>
    <row r="146" spans="2:21" x14ac:dyDescent="0.25">
      <c r="B146">
        <v>327</v>
      </c>
      <c r="C146">
        <v>4.0000000000000002E-4</v>
      </c>
      <c r="D146">
        <v>3.3E-3</v>
      </c>
      <c r="E146">
        <f t="shared" si="30"/>
        <v>5.3830991727930997E-15</v>
      </c>
      <c r="F146">
        <f t="shared" si="31"/>
        <v>8.4919047619047578E-3</v>
      </c>
      <c r="G146">
        <f t="shared" si="37"/>
        <v>2.3554601026031172E-4</v>
      </c>
      <c r="H146">
        <f t="shared" si="32"/>
        <v>5.0595338807859245E-15</v>
      </c>
      <c r="I146">
        <f t="shared" si="38"/>
        <v>2.2138789963582219E-4</v>
      </c>
      <c r="J146">
        <f t="shared" si="39"/>
        <v>7.5017289791598349E-3</v>
      </c>
      <c r="K146">
        <f t="shared" si="33"/>
        <v>1.4908571428571427E-2</v>
      </c>
      <c r="L146">
        <f t="shared" si="40"/>
        <v>7.4068424494115924E-3</v>
      </c>
      <c r="M146">
        <f t="shared" si="41"/>
        <v>164.59649887581315</v>
      </c>
      <c r="O146">
        <v>3.5999999999999999E-3</v>
      </c>
      <c r="P146">
        <f t="shared" si="34"/>
        <v>-1.6971428571428615E-3</v>
      </c>
      <c r="Q146">
        <f t="shared" si="35"/>
        <v>5.0020476613937876E-15</v>
      </c>
      <c r="R146">
        <f t="shared" si="42"/>
        <v>2.1887249927106519E-4</v>
      </c>
      <c r="S146">
        <f t="shared" si="36"/>
        <v>7.3322287255806837E-3</v>
      </c>
      <c r="T146">
        <f t="shared" si="43"/>
        <v>-9.0293715827235443E-3</v>
      </c>
      <c r="U146">
        <f t="shared" si="44"/>
        <v>-9.6293353447536763E-3</v>
      </c>
    </row>
    <row r="147" spans="2:21" x14ac:dyDescent="0.25">
      <c r="B147">
        <v>328</v>
      </c>
      <c r="C147">
        <v>5.0000000000000001E-4</v>
      </c>
      <c r="D147">
        <v>3.3999999999999998E-3</v>
      </c>
      <c r="E147">
        <f t="shared" si="30"/>
        <v>4.0453552160666315E-15</v>
      </c>
      <c r="F147">
        <f t="shared" si="31"/>
        <v>8.7637229437229416E-3</v>
      </c>
      <c r="G147">
        <f t="shared" si="37"/>
        <v>2.4308562475654449E-4</v>
      </c>
      <c r="H147">
        <f t="shared" si="32"/>
        <v>3.8021985325756628E-15</v>
      </c>
      <c r="I147">
        <f t="shared" si="38"/>
        <v>2.2847432583145204E-4</v>
      </c>
      <c r="J147">
        <f t="shared" si="39"/>
        <v>7.7418525307987518E-3</v>
      </c>
      <c r="K147">
        <f t="shared" si="33"/>
        <v>1.528363636363636E-2</v>
      </c>
      <c r="L147">
        <f t="shared" si="40"/>
        <v>7.5417838328376086E-3</v>
      </c>
      <c r="M147">
        <f t="shared" si="41"/>
        <v>167.59519628528017</v>
      </c>
      <c r="O147">
        <v>3.3999999999999998E-3</v>
      </c>
      <c r="P147">
        <f t="shared" si="34"/>
        <v>-1.8275324675324713E-3</v>
      </c>
      <c r="Q147">
        <f t="shared" si="35"/>
        <v>3.7589981065747297E-15</v>
      </c>
      <c r="R147">
        <f t="shared" si="42"/>
        <v>2.2587840977877067E-4</v>
      </c>
      <c r="S147">
        <f t="shared" si="36"/>
        <v>7.5669267275888172E-3</v>
      </c>
      <c r="T147">
        <f t="shared" si="43"/>
        <v>-9.394459195121288E-3</v>
      </c>
      <c r="U147">
        <f t="shared" si="44"/>
        <v>-1.0005353382714913E-2</v>
      </c>
    </row>
    <row r="148" spans="2:21" x14ac:dyDescent="0.25">
      <c r="B148">
        <v>329</v>
      </c>
      <c r="C148">
        <v>4.0000000000000002E-4</v>
      </c>
      <c r="D148">
        <v>3.5000000000000001E-3</v>
      </c>
      <c r="E148">
        <f t="shared" si="30"/>
        <v>3.0400515202966873E-15</v>
      </c>
      <c r="F148">
        <f t="shared" si="31"/>
        <v>8.8355411255411232E-3</v>
      </c>
      <c r="G148">
        <f t="shared" si="37"/>
        <v>2.4507769681407753E-4</v>
      </c>
      <c r="H148">
        <f t="shared" si="32"/>
        <v>2.8573212516712872E-15</v>
      </c>
      <c r="I148">
        <f t="shared" si="38"/>
        <v>2.3034665917411011E-4</v>
      </c>
      <c r="J148">
        <f t="shared" si="39"/>
        <v>7.80529654611472E-3</v>
      </c>
      <c r="K148">
        <f t="shared" si="33"/>
        <v>1.5658701298701293E-2</v>
      </c>
      <c r="L148">
        <f t="shared" si="40"/>
        <v>7.8534047525865743E-3</v>
      </c>
      <c r="M148">
        <f t="shared" si="41"/>
        <v>174.52010561303499</v>
      </c>
      <c r="O148">
        <v>3.5000000000000001E-3</v>
      </c>
      <c r="P148">
        <f t="shared" si="34"/>
        <v>-1.6579220779220807E-3</v>
      </c>
      <c r="Q148">
        <f t="shared" si="35"/>
        <v>2.8248564831337797E-15</v>
      </c>
      <c r="R148">
        <f t="shared" si="42"/>
        <v>2.2772946974568948E-4</v>
      </c>
      <c r="S148">
        <f t="shared" si="36"/>
        <v>7.6289372364805978E-3</v>
      </c>
      <c r="T148">
        <f t="shared" si="43"/>
        <v>-9.286859314402679E-3</v>
      </c>
      <c r="U148">
        <f t="shared" si="44"/>
        <v>-9.9229951971743537E-3</v>
      </c>
    </row>
    <row r="149" spans="2:21" x14ac:dyDescent="0.25">
      <c r="B149">
        <v>330</v>
      </c>
      <c r="C149">
        <v>4.0000000000000002E-4</v>
      </c>
      <c r="D149">
        <v>3.0999999999999999E-3</v>
      </c>
      <c r="E149">
        <f t="shared" si="30"/>
        <v>2.2845739749510394E-15</v>
      </c>
      <c r="F149">
        <f t="shared" si="31"/>
        <v>9.007359307359299E-3</v>
      </c>
      <c r="G149">
        <f t="shared" si="37"/>
        <v>2.4984354009096026E-4</v>
      </c>
      <c r="H149">
        <f t="shared" si="32"/>
        <v>2.1472536652950175E-15</v>
      </c>
      <c r="I149">
        <f t="shared" si="38"/>
        <v>2.3482603894325386E-4</v>
      </c>
      <c r="J149">
        <f t="shared" si="39"/>
        <v>7.9570803295921557E-3</v>
      </c>
      <c r="K149">
        <f t="shared" si="33"/>
        <v>1.5533766233766228E-2</v>
      </c>
      <c r="L149">
        <f t="shared" si="40"/>
        <v>7.5766859041740721E-3</v>
      </c>
      <c r="M149">
        <f t="shared" si="41"/>
        <v>168.37079787053491</v>
      </c>
      <c r="O149">
        <v>3.3999999999999998E-3</v>
      </c>
      <c r="P149">
        <f t="shared" si="34"/>
        <v>-1.6883116883116907E-3</v>
      </c>
      <c r="Q149">
        <f t="shared" si="35"/>
        <v>2.1228566559652673E-15</v>
      </c>
      <c r="R149">
        <f t="shared" si="42"/>
        <v>2.3215795498300146E-4</v>
      </c>
      <c r="S149">
        <f t="shared" si="36"/>
        <v>7.7772914919305488E-3</v>
      </c>
      <c r="T149">
        <f t="shared" si="43"/>
        <v>-9.4656031802422391E-3</v>
      </c>
      <c r="U149">
        <f t="shared" si="44"/>
        <v>-1.0079324480490776E-2</v>
      </c>
    </row>
    <row r="150" spans="2:21" x14ac:dyDescent="0.25">
      <c r="B150">
        <v>331</v>
      </c>
      <c r="C150">
        <v>2.9999999999999997E-4</v>
      </c>
      <c r="D150">
        <v>3.0999999999999999E-3</v>
      </c>
      <c r="E150">
        <f t="shared" si="30"/>
        <v>1.7168387483493018E-15</v>
      </c>
      <c r="F150">
        <f t="shared" si="31"/>
        <v>9.0791774891774823E-3</v>
      </c>
      <c r="G150">
        <f t="shared" si="37"/>
        <v>2.5183561214849336E-4</v>
      </c>
      <c r="H150">
        <f t="shared" si="32"/>
        <v>1.6136436532734963E-15</v>
      </c>
      <c r="I150">
        <f t="shared" si="38"/>
        <v>2.3669837228591193E-4</v>
      </c>
      <c r="J150">
        <f t="shared" si="39"/>
        <v>8.0205243449081257E-3</v>
      </c>
      <c r="K150">
        <f t="shared" si="33"/>
        <v>1.580883116883116E-2</v>
      </c>
      <c r="L150">
        <f t="shared" si="40"/>
        <v>7.788306823923034E-3</v>
      </c>
      <c r="M150">
        <f t="shared" si="41"/>
        <v>173.07348497606742</v>
      </c>
      <c r="O150">
        <v>3.3999999999999998E-3</v>
      </c>
      <c r="P150">
        <f t="shared" si="34"/>
        <v>-1.6187012987013039E-3</v>
      </c>
      <c r="Q150">
        <f t="shared" si="35"/>
        <v>1.5953094993260181E-15</v>
      </c>
      <c r="R150">
        <f t="shared" si="42"/>
        <v>2.3400901494992029E-4</v>
      </c>
      <c r="S150">
        <f t="shared" si="36"/>
        <v>7.8393020008223294E-3</v>
      </c>
      <c r="T150">
        <f t="shared" si="43"/>
        <v>-9.4580032995236329E-3</v>
      </c>
      <c r="U150">
        <f t="shared" si="44"/>
        <v>-1.0088866166371438E-2</v>
      </c>
    </row>
    <row r="151" spans="2:21" x14ac:dyDescent="0.25">
      <c r="B151">
        <v>332</v>
      </c>
      <c r="C151">
        <v>5.0000000000000001E-4</v>
      </c>
      <c r="D151">
        <v>3.5000000000000001E-3</v>
      </c>
      <c r="E151">
        <f t="shared" si="30"/>
        <v>1.2901903462752989E-15</v>
      </c>
      <c r="F151">
        <f t="shared" si="31"/>
        <v>9.4509956709956655E-3</v>
      </c>
      <c r="G151">
        <f t="shared" si="37"/>
        <v>2.6214899786407595E-4</v>
      </c>
      <c r="H151">
        <f t="shared" si="32"/>
        <v>1.2126400722162017E-15</v>
      </c>
      <c r="I151">
        <f t="shared" si="38"/>
        <v>2.463918449080277E-4</v>
      </c>
      <c r="J151">
        <f t="shared" si="39"/>
        <v>8.3489876647085178E-3</v>
      </c>
      <c r="K151">
        <f t="shared" si="33"/>
        <v>1.6483896103896094E-2</v>
      </c>
      <c r="L151">
        <f t="shared" si="40"/>
        <v>8.1349084391875767E-3</v>
      </c>
      <c r="M151">
        <f t="shared" si="41"/>
        <v>180.77574309305726</v>
      </c>
      <c r="O151">
        <v>3.3999999999999998E-3</v>
      </c>
      <c r="P151">
        <f t="shared" si="34"/>
        <v>-1.5490909090909136E-3</v>
      </c>
      <c r="Q151">
        <f t="shared" si="35"/>
        <v>1.1988621047437732E-15</v>
      </c>
      <c r="R151">
        <f t="shared" si="42"/>
        <v>2.435923507280191E-4</v>
      </c>
      <c r="S151">
        <f t="shared" si="36"/>
        <v>8.1603437493886401E-3</v>
      </c>
      <c r="T151">
        <f t="shared" si="43"/>
        <v>-9.7094346584795533E-3</v>
      </c>
      <c r="U151">
        <f t="shared" si="44"/>
        <v>-1.0368372701819921E-2</v>
      </c>
    </row>
    <row r="152" spans="2:21" x14ac:dyDescent="0.25">
      <c r="B152">
        <v>333</v>
      </c>
      <c r="C152">
        <v>2.9999999999999997E-4</v>
      </c>
      <c r="D152">
        <v>2.8E-3</v>
      </c>
      <c r="E152">
        <f t="shared" si="30"/>
        <v>9.6956754454804063E-16</v>
      </c>
      <c r="F152">
        <f t="shared" si="31"/>
        <v>9.4228138528138477E-3</v>
      </c>
      <c r="G152">
        <f t="shared" si="37"/>
        <v>2.613672987022592E-4</v>
      </c>
      <c r="H152">
        <f t="shared" si="32"/>
        <v>9.1128914476340703E-16</v>
      </c>
      <c r="I152">
        <f t="shared" si="38"/>
        <v>2.4565713182419981E-4</v>
      </c>
      <c r="J152">
        <f t="shared" si="39"/>
        <v>8.3240919118630109E-3</v>
      </c>
      <c r="K152">
        <f t="shared" si="33"/>
        <v>1.6058961038961043E-2</v>
      </c>
      <c r="L152">
        <f t="shared" si="40"/>
        <v>7.7348691270980319E-3</v>
      </c>
      <c r="M152">
        <f t="shared" si="41"/>
        <v>171.88598060217848</v>
      </c>
      <c r="O152">
        <v>3.0999999999999999E-3</v>
      </c>
      <c r="P152">
        <f t="shared" si="34"/>
        <v>-1.7794805194805232E-3</v>
      </c>
      <c r="Q152">
        <f t="shared" si="35"/>
        <v>9.0093511434481739E-16</v>
      </c>
      <c r="R152">
        <f t="shared" si="42"/>
        <v>2.428659854245446E-4</v>
      </c>
      <c r="S152">
        <f t="shared" si="36"/>
        <v>8.1360105117222435E-3</v>
      </c>
      <c r="T152">
        <f t="shared" si="43"/>
        <v>-9.9154910312027663E-3</v>
      </c>
      <c r="U152">
        <f t="shared" si="44"/>
        <v>-1.0542025375898205E-2</v>
      </c>
    </row>
    <row r="153" spans="2:21" x14ac:dyDescent="0.25">
      <c r="B153">
        <v>334</v>
      </c>
      <c r="C153">
        <v>5.0000000000000001E-4</v>
      </c>
      <c r="D153">
        <v>2.8E-3</v>
      </c>
      <c r="E153">
        <f t="shared" si="30"/>
        <v>7.2862211855391433E-16</v>
      </c>
      <c r="F153">
        <f t="shared" si="31"/>
        <v>9.7946320346320309E-3</v>
      </c>
      <c r="G153">
        <f t="shared" si="37"/>
        <v>2.7168068441784174E-4</v>
      </c>
      <c r="H153">
        <f t="shared" si="32"/>
        <v>6.8482637543546501E-16</v>
      </c>
      <c r="I153">
        <f t="shared" si="38"/>
        <v>2.5535060444631548E-4</v>
      </c>
      <c r="J153">
        <f t="shared" si="39"/>
        <v>8.6525552316633995E-3</v>
      </c>
      <c r="K153">
        <f t="shared" si="33"/>
        <v>1.6334025974025976E-2</v>
      </c>
      <c r="L153">
        <f t="shared" si="40"/>
        <v>7.6814707423625769E-3</v>
      </c>
      <c r="M153">
        <f t="shared" si="41"/>
        <v>170.69934983027949</v>
      </c>
      <c r="O153">
        <v>2.8E-3</v>
      </c>
      <c r="P153">
        <f t="shared" si="34"/>
        <v>-2.0098701298701328E-3</v>
      </c>
      <c r="Q153">
        <f t="shared" si="35"/>
        <v>6.7704540584589285E-16</v>
      </c>
      <c r="R153">
        <f t="shared" si="42"/>
        <v>2.5244932120264334E-4</v>
      </c>
      <c r="S153">
        <f t="shared" si="36"/>
        <v>8.4570522602885525E-3</v>
      </c>
      <c r="T153">
        <f t="shared" si="43"/>
        <v>-1.0466922390158685E-2</v>
      </c>
      <c r="U153">
        <f t="shared" si="44"/>
        <v>-1.1089131397031559E-2</v>
      </c>
    </row>
    <row r="154" spans="2:21" x14ac:dyDescent="0.25">
      <c r="B154">
        <v>335</v>
      </c>
      <c r="C154">
        <v>2.9999999999999997E-4</v>
      </c>
      <c r="D154">
        <v>3.0999999999999999E-3</v>
      </c>
      <c r="E154">
        <f t="shared" si="30"/>
        <v>5.4755359194028114E-16</v>
      </c>
      <c r="F154">
        <f t="shared" si="31"/>
        <v>9.7664502164502131E-3</v>
      </c>
      <c r="G154">
        <f t="shared" si="37"/>
        <v>2.7089898525602498E-4</v>
      </c>
      <c r="H154">
        <f t="shared" si="32"/>
        <v>5.1464144743416241E-16</v>
      </c>
      <c r="I154">
        <f t="shared" si="38"/>
        <v>2.5461589136248765E-4</v>
      </c>
      <c r="J154">
        <f t="shared" si="39"/>
        <v>8.6276594788178926E-3</v>
      </c>
      <c r="K154">
        <f t="shared" si="33"/>
        <v>1.6909090909090908E-2</v>
      </c>
      <c r="L154">
        <f t="shared" si="40"/>
        <v>8.2814314302730157E-3</v>
      </c>
      <c r="M154">
        <f t="shared" si="41"/>
        <v>184.03180956162257</v>
      </c>
      <c r="O154">
        <v>2.7000000000000001E-3</v>
      </c>
      <c r="P154">
        <f t="shared" si="34"/>
        <v>-2.0402597402597424E-3</v>
      </c>
      <c r="Q154">
        <f t="shared" si="35"/>
        <v>5.0879411211581644E-16</v>
      </c>
      <c r="R154">
        <f t="shared" si="42"/>
        <v>2.5172295589916886E-4</v>
      </c>
      <c r="S154">
        <f t="shared" si="36"/>
        <v>8.4327190226221576E-3</v>
      </c>
      <c r="T154">
        <f t="shared" si="43"/>
        <v>-1.0472978762881901E-2</v>
      </c>
      <c r="U154">
        <f t="shared" si="44"/>
        <v>-1.1143785356897666E-2</v>
      </c>
    </row>
    <row r="155" spans="2:21" x14ac:dyDescent="0.25">
      <c r="B155">
        <v>336</v>
      </c>
      <c r="C155">
        <v>4.0000000000000002E-4</v>
      </c>
      <c r="D155">
        <v>2.7000000000000001E-3</v>
      </c>
      <c r="E155">
        <f t="shared" si="30"/>
        <v>4.114820678814144E-16</v>
      </c>
      <c r="F155">
        <f t="shared" si="31"/>
        <v>1.0038268398268395E-2</v>
      </c>
      <c r="G155">
        <f t="shared" si="37"/>
        <v>2.7843859975225772E-4</v>
      </c>
      <c r="H155">
        <f t="shared" si="32"/>
        <v>3.8674885915238338E-16</v>
      </c>
      <c r="I155">
        <f t="shared" si="38"/>
        <v>2.6170231755811755E-4</v>
      </c>
      <c r="J155">
        <f t="shared" si="39"/>
        <v>8.867783030456813E-3</v>
      </c>
      <c r="K155">
        <f t="shared" si="33"/>
        <v>1.6784155844155844E-2</v>
      </c>
      <c r="L155">
        <f t="shared" si="40"/>
        <v>7.9163728136990314E-3</v>
      </c>
      <c r="M155">
        <f t="shared" si="41"/>
        <v>175.91939585997847</v>
      </c>
      <c r="O155">
        <v>3.0999999999999999E-3</v>
      </c>
      <c r="P155">
        <f t="shared" si="34"/>
        <v>-1.5706493506493558E-3</v>
      </c>
      <c r="Q155">
        <f t="shared" si="35"/>
        <v>3.8235463425128654E-16</v>
      </c>
      <c r="R155">
        <f t="shared" si="42"/>
        <v>2.5872886640687437E-4</v>
      </c>
      <c r="S155">
        <f t="shared" si="36"/>
        <v>8.667417024630291E-3</v>
      </c>
      <c r="T155">
        <f t="shared" si="43"/>
        <v>-1.0238066375279646E-2</v>
      </c>
      <c r="U155">
        <f t="shared" si="44"/>
        <v>-1.0879302751964996E-2</v>
      </c>
    </row>
    <row r="156" spans="2:21" x14ac:dyDescent="0.25">
      <c r="B156">
        <v>337</v>
      </c>
      <c r="C156">
        <v>1E-4</v>
      </c>
      <c r="D156">
        <v>2.8999999999999998E-3</v>
      </c>
      <c r="E156">
        <f t="shared" si="30"/>
        <v>3.0922542501818298E-16</v>
      </c>
      <c r="F156">
        <f t="shared" si="31"/>
        <v>9.910086580086578E-3</v>
      </c>
      <c r="G156">
        <f t="shared" si="37"/>
        <v>2.7488312937109117E-4</v>
      </c>
      <c r="H156">
        <f t="shared" si="32"/>
        <v>2.9063861995842479E-16</v>
      </c>
      <c r="I156">
        <f t="shared" si="38"/>
        <v>2.5836055804780384E-4</v>
      </c>
      <c r="J156">
        <f t="shared" si="39"/>
        <v>8.7545475094498327E-3</v>
      </c>
      <c r="K156">
        <f t="shared" si="33"/>
        <v>1.7259220779220777E-2</v>
      </c>
      <c r="L156">
        <f t="shared" si="40"/>
        <v>8.5046732697709442E-3</v>
      </c>
      <c r="M156">
        <f t="shared" si="41"/>
        <v>188.9927393282432</v>
      </c>
      <c r="O156">
        <v>3.0000000000000001E-3</v>
      </c>
      <c r="P156">
        <f t="shared" si="34"/>
        <v>-1.6010389610389654E-3</v>
      </c>
      <c r="Q156">
        <f t="shared" si="35"/>
        <v>2.8733639570922915E-16</v>
      </c>
      <c r="R156">
        <f t="shared" si="42"/>
        <v>2.5542507583300658E-4</v>
      </c>
      <c r="S156">
        <f t="shared" si="36"/>
        <v>8.5567400404057206E-3</v>
      </c>
      <c r="T156">
        <f t="shared" si="43"/>
        <v>-1.0157779001444687E-2</v>
      </c>
      <c r="U156">
        <f t="shared" si="44"/>
        <v>-1.0846668471501422E-2</v>
      </c>
    </row>
    <row r="157" spans="2:21" x14ac:dyDescent="0.25">
      <c r="B157">
        <v>338</v>
      </c>
      <c r="C157">
        <v>2.0000000000000001E-4</v>
      </c>
      <c r="D157">
        <v>2.8999999999999998E-3</v>
      </c>
      <c r="E157">
        <f t="shared" si="30"/>
        <v>2.3238039015890279E-16</v>
      </c>
      <c r="F157">
        <f t="shared" si="31"/>
        <v>1.0181904761904755E-2</v>
      </c>
      <c r="G157">
        <f t="shared" si="37"/>
        <v>2.8242274386732375E-4</v>
      </c>
      <c r="H157">
        <f t="shared" si="32"/>
        <v>2.1841255743188784E-16</v>
      </c>
      <c r="I157">
        <f t="shared" si="38"/>
        <v>2.6544698424343347E-4</v>
      </c>
      <c r="J157">
        <f t="shared" si="39"/>
        <v>8.9946710610887427E-3</v>
      </c>
      <c r="K157">
        <f t="shared" si="33"/>
        <v>1.7534285714285711E-2</v>
      </c>
      <c r="L157">
        <f t="shared" si="40"/>
        <v>8.5396146531969679E-3</v>
      </c>
      <c r="M157">
        <f t="shared" si="41"/>
        <v>189.76921451548816</v>
      </c>
      <c r="O157">
        <v>2.8999999999999998E-3</v>
      </c>
      <c r="P157">
        <f t="shared" si="34"/>
        <v>-1.6314285714285753E-3</v>
      </c>
      <c r="Q157">
        <f t="shared" si="35"/>
        <v>2.1593096278495629E-16</v>
      </c>
      <c r="R157">
        <f t="shared" si="42"/>
        <v>2.6243098634071193E-4</v>
      </c>
      <c r="S157">
        <f t="shared" si="36"/>
        <v>8.7914380424138489E-3</v>
      </c>
      <c r="T157">
        <f t="shared" si="43"/>
        <v>-1.0422866613842424E-2</v>
      </c>
      <c r="U157">
        <f t="shared" si="44"/>
        <v>-1.1114586380883872E-2</v>
      </c>
    </row>
    <row r="158" spans="2:21" x14ac:dyDescent="0.25">
      <c r="B158">
        <v>339</v>
      </c>
      <c r="C158">
        <v>-1E-4</v>
      </c>
      <c r="D158">
        <v>2.5000000000000001E-3</v>
      </c>
      <c r="E158">
        <f t="shared" si="30"/>
        <v>1.7463197189308923E-16</v>
      </c>
      <c r="F158">
        <f t="shared" si="31"/>
        <v>1.0053722943722938E-2</v>
      </c>
      <c r="G158">
        <f t="shared" si="37"/>
        <v>2.7886727348615714E-4</v>
      </c>
      <c r="H158">
        <f t="shared" si="32"/>
        <v>1.6413525928096436E-16</v>
      </c>
      <c r="I158">
        <f t="shared" si="38"/>
        <v>2.621052247331197E-4</v>
      </c>
      <c r="J158">
        <f t="shared" si="39"/>
        <v>8.8814355400817606E-3</v>
      </c>
      <c r="K158">
        <f t="shared" si="33"/>
        <v>1.7409350649350643E-2</v>
      </c>
      <c r="L158">
        <f t="shared" si="40"/>
        <v>8.5279151092688826E-3</v>
      </c>
      <c r="M158">
        <f t="shared" si="41"/>
        <v>189.50922465041961</v>
      </c>
      <c r="O158">
        <v>2.7000000000000001E-3</v>
      </c>
      <c r="P158">
        <f t="shared" si="34"/>
        <v>-1.7618181818181847E-3</v>
      </c>
      <c r="Q158">
        <f t="shared" si="35"/>
        <v>1.6227036110114526E-16</v>
      </c>
      <c r="R158">
        <f t="shared" si="42"/>
        <v>2.5912719576684409E-4</v>
      </c>
      <c r="S158">
        <f t="shared" si="36"/>
        <v>8.6807610581892767E-3</v>
      </c>
      <c r="T158">
        <f t="shared" si="43"/>
        <v>-1.0442579240007462E-2</v>
      </c>
      <c r="U158">
        <f t="shared" si="44"/>
        <v>-1.1133351328947603E-2</v>
      </c>
    </row>
    <row r="159" spans="2:21" x14ac:dyDescent="0.25">
      <c r="B159">
        <v>340</v>
      </c>
      <c r="C159">
        <v>2.0000000000000001E-4</v>
      </c>
      <c r="D159">
        <v>2.8999999999999998E-3</v>
      </c>
      <c r="E159">
        <f t="shared" si="30"/>
        <v>1.3123450557258891E-16</v>
      </c>
      <c r="F159">
        <f t="shared" si="31"/>
        <v>1.052554112554112E-2</v>
      </c>
      <c r="G159">
        <f t="shared" si="37"/>
        <v>2.9195443042108953E-4</v>
      </c>
      <c r="H159">
        <f t="shared" si="32"/>
        <v>1.2334631147584533E-16</v>
      </c>
      <c r="I159">
        <f t="shared" si="38"/>
        <v>2.7440574378172141E-4</v>
      </c>
      <c r="J159">
        <f t="shared" si="39"/>
        <v>9.2982386280436296E-3</v>
      </c>
      <c r="K159">
        <f t="shared" si="33"/>
        <v>1.8084415584415578E-2</v>
      </c>
      <c r="L159">
        <f t="shared" si="40"/>
        <v>8.7861769563719484E-3</v>
      </c>
      <c r="M159">
        <f t="shared" si="41"/>
        <v>195.2483768082655</v>
      </c>
      <c r="O159">
        <v>3.0999999999999999E-3</v>
      </c>
      <c r="P159">
        <f t="shared" si="34"/>
        <v>-1.2922077922077947E-3</v>
      </c>
      <c r="Q159">
        <f t="shared" si="35"/>
        <v>1.2194485567185533E-16</v>
      </c>
      <c r="R159">
        <f t="shared" si="42"/>
        <v>2.7128795681533616E-4</v>
      </c>
      <c r="S159">
        <f t="shared" si="36"/>
        <v>9.0881465533137612E-3</v>
      </c>
      <c r="T159">
        <f t="shared" si="43"/>
        <v>-1.0380354345521555E-2</v>
      </c>
      <c r="U159">
        <f t="shared" si="44"/>
        <v>-1.1092045976146981E-2</v>
      </c>
    </row>
    <row r="160" spans="2:21" x14ac:dyDescent="0.25">
      <c r="B160">
        <v>341</v>
      </c>
      <c r="C160">
        <v>2.9999999999999997E-4</v>
      </c>
      <c r="D160">
        <v>2.8E-3</v>
      </c>
      <c r="E160">
        <f t="shared" si="30"/>
        <v>9.862166283860937E-17</v>
      </c>
      <c r="F160">
        <f t="shared" si="31"/>
        <v>1.0797359307359302E-2</v>
      </c>
      <c r="G160">
        <f t="shared" si="37"/>
        <v>2.9949404491732228E-4</v>
      </c>
      <c r="H160">
        <f t="shared" si="32"/>
        <v>9.2693749175809342E-17</v>
      </c>
      <c r="I160">
        <f t="shared" si="38"/>
        <v>2.814921699773512E-4</v>
      </c>
      <c r="J160">
        <f t="shared" si="39"/>
        <v>9.5383621796825448E-3</v>
      </c>
      <c r="K160">
        <f t="shared" si="33"/>
        <v>1.8259480519480512E-2</v>
      </c>
      <c r="L160">
        <f t="shared" si="40"/>
        <v>8.7211183397979675E-3</v>
      </c>
      <c r="M160">
        <f t="shared" si="41"/>
        <v>193.80262977328815</v>
      </c>
      <c r="O160">
        <v>2.5999999999999999E-3</v>
      </c>
      <c r="P160">
        <f t="shared" si="34"/>
        <v>-1.7225974025974079E-3</v>
      </c>
      <c r="Q160">
        <f t="shared" si="35"/>
        <v>9.1640566545362631E-17</v>
      </c>
      <c r="R160">
        <f t="shared" si="42"/>
        <v>2.7829386732304155E-4</v>
      </c>
      <c r="S160">
        <f t="shared" si="36"/>
        <v>9.3228445553218912E-3</v>
      </c>
      <c r="T160">
        <f t="shared" si="43"/>
        <v>-1.1045441957919299E-2</v>
      </c>
      <c r="U160">
        <f t="shared" si="44"/>
        <v>-1.1751863756950656E-2</v>
      </c>
    </row>
    <row r="161" spans="2:21" x14ac:dyDescent="0.25">
      <c r="B161">
        <v>342</v>
      </c>
      <c r="C161">
        <v>2.0000000000000001E-4</v>
      </c>
      <c r="D161">
        <v>2.7000000000000001E-3</v>
      </c>
      <c r="E161">
        <f t="shared" si="30"/>
        <v>7.4113376955366382E-17</v>
      </c>
      <c r="F161">
        <f t="shared" si="31"/>
        <v>1.0869177489177486E-2</v>
      </c>
      <c r="G161">
        <f t="shared" si="37"/>
        <v>3.0148611697485537E-4</v>
      </c>
      <c r="H161">
        <f t="shared" si="32"/>
        <v>6.9658598084228057E-17</v>
      </c>
      <c r="I161">
        <f t="shared" si="38"/>
        <v>2.8336450332000929E-4</v>
      </c>
      <c r="J161">
        <f t="shared" si="39"/>
        <v>9.6018061949985148E-3</v>
      </c>
      <c r="K161">
        <f t="shared" si="33"/>
        <v>1.8434545454545447E-2</v>
      </c>
      <c r="L161">
        <f t="shared" si="40"/>
        <v>8.8327392595469317E-3</v>
      </c>
      <c r="M161">
        <f t="shared" si="41"/>
        <v>196.28309465659848</v>
      </c>
      <c r="O161">
        <v>2.8999999999999998E-3</v>
      </c>
      <c r="P161">
        <f t="shared" si="34"/>
        <v>-1.3529870129870177E-3</v>
      </c>
      <c r="Q161">
        <f t="shared" si="35"/>
        <v>6.8867139909152727E-17</v>
      </c>
      <c r="R161">
        <f t="shared" si="42"/>
        <v>2.801449272899605E-4</v>
      </c>
      <c r="S161">
        <f t="shared" si="36"/>
        <v>9.384855064213677E-3</v>
      </c>
      <c r="T161">
        <f t="shared" si="43"/>
        <v>-1.0737842077200695E-2</v>
      </c>
      <c r="U161">
        <f t="shared" si="44"/>
        <v>-1.1453305314252538E-2</v>
      </c>
    </row>
    <row r="162" spans="2:21" x14ac:dyDescent="0.25">
      <c r="B162">
        <v>343</v>
      </c>
      <c r="C162">
        <v>-1E-4</v>
      </c>
      <c r="D162">
        <v>2.5000000000000001E-3</v>
      </c>
      <c r="E162">
        <f t="shared" si="30"/>
        <v>5.569559958360204E-17</v>
      </c>
      <c r="F162">
        <f t="shared" si="31"/>
        <v>1.0740995670995668E-2</v>
      </c>
      <c r="G162">
        <f t="shared" si="37"/>
        <v>2.9793064659368882E-4</v>
      </c>
      <c r="H162">
        <f t="shared" si="32"/>
        <v>5.2347869518760536E-17</v>
      </c>
      <c r="I162">
        <f t="shared" si="38"/>
        <v>2.8002274380969553E-4</v>
      </c>
      <c r="J162">
        <f t="shared" si="39"/>
        <v>9.4885706739915327E-3</v>
      </c>
      <c r="K162">
        <f t="shared" si="33"/>
        <v>1.8509610389610378E-2</v>
      </c>
      <c r="L162">
        <f t="shared" si="40"/>
        <v>9.0210397156188452E-3</v>
      </c>
      <c r="M162">
        <f t="shared" si="41"/>
        <v>200.46754923597433</v>
      </c>
      <c r="O162">
        <v>2.5000000000000001E-3</v>
      </c>
      <c r="P162">
        <f t="shared" si="34"/>
        <v>-1.6833766233766271E-3</v>
      </c>
      <c r="Q162">
        <f t="shared" si="35"/>
        <v>5.1753095141758243E-17</v>
      </c>
      <c r="R162">
        <f t="shared" si="42"/>
        <v>2.7684113671609271E-4</v>
      </c>
      <c r="S162">
        <f t="shared" si="36"/>
        <v>9.2741780799891066E-3</v>
      </c>
      <c r="T162">
        <f t="shared" si="43"/>
        <v>-1.0957554703365733E-2</v>
      </c>
      <c r="U162">
        <f t="shared" si="44"/>
        <v>-1.1688270519473833E-2</v>
      </c>
    </row>
    <row r="163" spans="2:21" x14ac:dyDescent="0.25">
      <c r="B163">
        <v>344</v>
      </c>
      <c r="C163">
        <v>0</v>
      </c>
      <c r="D163">
        <v>2.8E-3</v>
      </c>
      <c r="E163">
        <f t="shared" si="30"/>
        <v>4.1854789788421902E-17</v>
      </c>
      <c r="F163">
        <f t="shared" si="31"/>
        <v>1.1012813852813851E-2</v>
      </c>
      <c r="G163">
        <f t="shared" si="37"/>
        <v>3.0547026108992151E-4</v>
      </c>
      <c r="H163">
        <f t="shared" si="32"/>
        <v>3.9338997891397871E-17</v>
      </c>
      <c r="I163">
        <f t="shared" si="38"/>
        <v>2.8710917000532537E-4</v>
      </c>
      <c r="J163">
        <f t="shared" si="39"/>
        <v>9.7286942256304496E-3</v>
      </c>
      <c r="K163">
        <f t="shared" si="33"/>
        <v>1.9084675324675327E-2</v>
      </c>
      <c r="L163">
        <f t="shared" si="40"/>
        <v>9.3559810990448775E-3</v>
      </c>
      <c r="M163">
        <f t="shared" si="41"/>
        <v>207.91069108988614</v>
      </c>
      <c r="O163">
        <v>2.7000000000000001E-3</v>
      </c>
      <c r="P163">
        <f t="shared" si="34"/>
        <v>-1.4137662337662367E-3</v>
      </c>
      <c r="Q163">
        <f t="shared" si="35"/>
        <v>3.8892029787865688E-17</v>
      </c>
      <c r="R163">
        <f t="shared" si="42"/>
        <v>2.8384704722379816E-4</v>
      </c>
      <c r="S163">
        <f t="shared" si="36"/>
        <v>9.5088760819972383E-3</v>
      </c>
      <c r="T163">
        <f t="shared" si="43"/>
        <v>-1.0922642315763474E-2</v>
      </c>
      <c r="U163">
        <f t="shared" si="44"/>
        <v>-1.1680488814592634E-2</v>
      </c>
    </row>
    <row r="164" spans="2:21" x14ac:dyDescent="0.25">
      <c r="B164">
        <v>345</v>
      </c>
      <c r="C164">
        <v>0</v>
      </c>
      <c r="D164">
        <v>2.5999999999999999E-3</v>
      </c>
      <c r="E164">
        <f t="shared" si="30"/>
        <v>3.1453533875749362E-17</v>
      </c>
      <c r="F164">
        <f t="shared" si="31"/>
        <v>1.1184632034632033E-2</v>
      </c>
      <c r="G164">
        <f t="shared" si="37"/>
        <v>3.1023610436680445E-4</v>
      </c>
      <c r="H164">
        <f t="shared" si="32"/>
        <v>2.9562936740812358E-17</v>
      </c>
      <c r="I164">
        <f t="shared" si="38"/>
        <v>2.9158854977446934E-4</v>
      </c>
      <c r="J164">
        <f t="shared" si="39"/>
        <v>9.8804780091078931E-3</v>
      </c>
      <c r="K164">
        <f t="shared" si="33"/>
        <v>1.9159740259740259E-2</v>
      </c>
      <c r="L164">
        <f t="shared" si="40"/>
        <v>9.2792622506323655E-3</v>
      </c>
      <c r="M164">
        <f t="shared" si="41"/>
        <v>206.20582779183033</v>
      </c>
      <c r="O164">
        <v>2.7000000000000001E-3</v>
      </c>
      <c r="P164">
        <f t="shared" si="34"/>
        <v>-1.3441558441558464E-3</v>
      </c>
      <c r="Q164">
        <f t="shared" si="35"/>
        <v>2.9227043848818478E-17</v>
      </c>
      <c r="R164">
        <f t="shared" si="42"/>
        <v>2.8827553246111036E-4</v>
      </c>
      <c r="S164">
        <f t="shared" si="36"/>
        <v>9.6572303374471962E-3</v>
      </c>
      <c r="T164">
        <f t="shared" si="43"/>
        <v>-1.1001386181603044E-2</v>
      </c>
      <c r="U164">
        <f t="shared" si="44"/>
        <v>-1.1753018355066628E-2</v>
      </c>
    </row>
    <row r="165" spans="2:21" x14ac:dyDescent="0.25">
      <c r="B165">
        <v>346</v>
      </c>
      <c r="C165">
        <v>2.0000000000000001E-4</v>
      </c>
      <c r="D165">
        <v>3.0999999999999999E-3</v>
      </c>
      <c r="E165">
        <f t="shared" si="30"/>
        <v>2.3637074711735336E-17</v>
      </c>
      <c r="F165">
        <f t="shared" si="31"/>
        <v>1.155645021645021E-2</v>
      </c>
      <c r="G165">
        <f t="shared" si="37"/>
        <v>3.2054949008238683E-4</v>
      </c>
      <c r="H165">
        <f t="shared" si="32"/>
        <v>2.2216306352134465E-17</v>
      </c>
      <c r="I165">
        <f t="shared" si="38"/>
        <v>3.0128202239658485E-4</v>
      </c>
      <c r="J165">
        <f t="shared" si="39"/>
        <v>1.0208941328908277E-2</v>
      </c>
      <c r="K165">
        <f t="shared" si="33"/>
        <v>1.9934805194805193E-2</v>
      </c>
      <c r="L165">
        <f t="shared" si="40"/>
        <v>9.7258638658969162E-3</v>
      </c>
      <c r="M165">
        <f t="shared" si="41"/>
        <v>216.13030813104257</v>
      </c>
      <c r="O165">
        <v>2.8E-3</v>
      </c>
      <c r="P165">
        <f t="shared" si="34"/>
        <v>-1.1745454545454598E-3</v>
      </c>
      <c r="Q165">
        <f t="shared" si="35"/>
        <v>2.1963885577586092E-17</v>
      </c>
      <c r="R165">
        <f t="shared" si="42"/>
        <v>2.978588682392089E-4</v>
      </c>
      <c r="S165">
        <f t="shared" si="36"/>
        <v>9.9782720860134982E-3</v>
      </c>
      <c r="T165">
        <f t="shared" si="43"/>
        <v>-1.1152817540558958E-2</v>
      </c>
      <c r="U165">
        <f t="shared" si="44"/>
        <v>-1.1940625019093888E-2</v>
      </c>
    </row>
    <row r="166" spans="2:21" x14ac:dyDescent="0.25">
      <c r="B166">
        <v>347</v>
      </c>
      <c r="C166">
        <v>1E-4</v>
      </c>
      <c r="D166">
        <v>2.7000000000000001E-3</v>
      </c>
      <c r="E166">
        <f t="shared" si="30"/>
        <v>1.7763069267041177E-17</v>
      </c>
      <c r="F166">
        <f t="shared" si="31"/>
        <v>1.1628268398268391E-2</v>
      </c>
      <c r="G166">
        <f t="shared" si="37"/>
        <v>3.2254156213991987E-4</v>
      </c>
      <c r="H166">
        <f t="shared" si="32"/>
        <v>1.669537340823506E-17</v>
      </c>
      <c r="I166">
        <f t="shared" si="38"/>
        <v>3.0315435573924289E-4</v>
      </c>
      <c r="J166">
        <f t="shared" si="39"/>
        <v>1.0272385344224245E-2</v>
      </c>
      <c r="K166">
        <f t="shared" si="33"/>
        <v>1.9809870129870129E-2</v>
      </c>
      <c r="L166">
        <f t="shared" si="40"/>
        <v>9.537484785645884E-3</v>
      </c>
      <c r="M166">
        <f t="shared" si="41"/>
        <v>211.9441063476863</v>
      </c>
      <c r="O166">
        <v>2.7000000000000001E-3</v>
      </c>
      <c r="P166">
        <f t="shared" si="34"/>
        <v>-1.2049350649350693E-3</v>
      </c>
      <c r="Q166">
        <f t="shared" si="35"/>
        <v>1.650568125057915E-17</v>
      </c>
      <c r="R166">
        <f t="shared" si="42"/>
        <v>2.9970992820612774E-4</v>
      </c>
      <c r="S166">
        <f t="shared" si="36"/>
        <v>1.0040282594905279E-2</v>
      </c>
      <c r="T166">
        <f t="shared" si="43"/>
        <v>-1.1245217659840347E-2</v>
      </c>
      <c r="U166">
        <f t="shared" si="44"/>
        <v>-1.2017766190659418E-2</v>
      </c>
    </row>
    <row r="167" spans="2:21" x14ac:dyDescent="0.25">
      <c r="B167">
        <v>348</v>
      </c>
      <c r="C167">
        <v>0</v>
      </c>
      <c r="D167">
        <v>2.8E-3</v>
      </c>
      <c r="E167">
        <f t="shared" si="30"/>
        <v>1.3348801983057907E-17</v>
      </c>
      <c r="F167">
        <f t="shared" si="31"/>
        <v>1.1700086580086574E-2</v>
      </c>
      <c r="G167">
        <f t="shared" si="37"/>
        <v>3.2453363419745297E-4</v>
      </c>
      <c r="H167">
        <f t="shared" si="32"/>
        <v>1.25464372349916E-17</v>
      </c>
      <c r="I167">
        <f t="shared" si="38"/>
        <v>3.0502668908190099E-4</v>
      </c>
      <c r="J167">
        <f t="shared" si="39"/>
        <v>1.0335829359540215E-2</v>
      </c>
      <c r="K167">
        <f t="shared" si="33"/>
        <v>2.0184935064935062E-2</v>
      </c>
      <c r="L167">
        <f t="shared" si="40"/>
        <v>9.8491057053948471E-3</v>
      </c>
      <c r="M167">
        <f t="shared" si="41"/>
        <v>218.86901567544103</v>
      </c>
      <c r="O167">
        <v>2.2000000000000001E-3</v>
      </c>
      <c r="P167">
        <f t="shared" si="34"/>
        <v>-1.6353246753246791E-3</v>
      </c>
      <c r="Q167">
        <f t="shared" si="35"/>
        <v>1.2403885122390987E-17</v>
      </c>
      <c r="R167">
        <f t="shared" si="42"/>
        <v>3.0156098817304657E-4</v>
      </c>
      <c r="S167">
        <f t="shared" si="36"/>
        <v>1.010229310379706E-2</v>
      </c>
      <c r="T167">
        <f t="shared" si="43"/>
        <v>-1.1737617779121738E-2</v>
      </c>
      <c r="U167">
        <f t="shared" si="44"/>
        <v>-1.2535408005118856E-2</v>
      </c>
    </row>
    <row r="168" spans="2:21" x14ac:dyDescent="0.25">
      <c r="B168">
        <v>349</v>
      </c>
      <c r="C168">
        <v>-1E-4</v>
      </c>
      <c r="D168">
        <v>2.8E-3</v>
      </c>
      <c r="E168">
        <f t="shared" si="30"/>
        <v>1.0031516046245321E-17</v>
      </c>
      <c r="F168">
        <f t="shared" si="31"/>
        <v>1.1771904761904758E-2</v>
      </c>
      <c r="G168">
        <f t="shared" si="37"/>
        <v>3.2652570625498606E-4</v>
      </c>
      <c r="H168">
        <f t="shared" si="32"/>
        <v>9.4285454684073738E-18</v>
      </c>
      <c r="I168">
        <f t="shared" si="38"/>
        <v>3.0689902242455897E-4</v>
      </c>
      <c r="J168">
        <f t="shared" si="39"/>
        <v>1.039927337485618E-2</v>
      </c>
      <c r="K168">
        <f t="shared" si="33"/>
        <v>2.0459999999999996E-2</v>
      </c>
      <c r="L168">
        <f t="shared" si="40"/>
        <v>1.0060726625143816E-2</v>
      </c>
      <c r="M168">
        <f t="shared" si="41"/>
        <v>223.57170278097368</v>
      </c>
      <c r="O168">
        <v>2.5999999999999999E-3</v>
      </c>
      <c r="P168">
        <f t="shared" si="34"/>
        <v>-1.165714285714289E-3</v>
      </c>
      <c r="Q168">
        <f t="shared" si="35"/>
        <v>9.3214187159996189E-18</v>
      </c>
      <c r="R168">
        <f t="shared" si="42"/>
        <v>3.034120481399654E-4</v>
      </c>
      <c r="S168">
        <f t="shared" si="36"/>
        <v>1.016430361268884E-2</v>
      </c>
      <c r="T168">
        <f t="shared" si="43"/>
        <v>-1.1330017898403129E-2</v>
      </c>
      <c r="U168">
        <f t="shared" si="44"/>
        <v>-1.2144949690999515E-2</v>
      </c>
    </row>
    <row r="169" spans="2:21" x14ac:dyDescent="0.25">
      <c r="B169">
        <v>350</v>
      </c>
      <c r="C169">
        <v>2.0000000000000001E-4</v>
      </c>
      <c r="D169">
        <v>3.0999999999999999E-3</v>
      </c>
      <c r="E169">
        <f t="shared" si="30"/>
        <v>7.5386026636545955E-18</v>
      </c>
      <c r="F169">
        <f t="shared" si="31"/>
        <v>1.224372294372294E-2</v>
      </c>
      <c r="G169">
        <f t="shared" si="37"/>
        <v>3.3961286318991846E-4</v>
      </c>
      <c r="H169">
        <f t="shared" si="32"/>
        <v>7.08547518190214E-18</v>
      </c>
      <c r="I169">
        <f t="shared" si="38"/>
        <v>3.1919954147316063E-4</v>
      </c>
      <c r="J169">
        <f t="shared" si="39"/>
        <v>1.0816076462818047E-2</v>
      </c>
      <c r="K169">
        <f t="shared" si="33"/>
        <v>2.1035064935064927E-2</v>
      </c>
      <c r="L169">
        <f t="shared" si="40"/>
        <v>1.0218988472246881E-2</v>
      </c>
      <c r="M169">
        <f t="shared" si="41"/>
        <v>227.08863271659732</v>
      </c>
      <c r="O169">
        <v>2.5000000000000001E-3</v>
      </c>
      <c r="P169">
        <f t="shared" si="34"/>
        <v>-1.1961038961038986E-3</v>
      </c>
      <c r="Q169">
        <f t="shared" si="35"/>
        <v>7.0049702993572877E-18</v>
      </c>
      <c r="R169">
        <f t="shared" si="42"/>
        <v>3.1557280918845747E-4</v>
      </c>
      <c r="S169">
        <f t="shared" si="36"/>
        <v>1.0571689107813325E-2</v>
      </c>
      <c r="T169">
        <f t="shared" si="43"/>
        <v>-1.1767793003917223E-2</v>
      </c>
      <c r="U169">
        <f t="shared" si="44"/>
        <v>-1.2595544209620111E-2</v>
      </c>
    </row>
    <row r="170" spans="2:21" x14ac:dyDescent="0.25">
      <c r="B170">
        <v>351</v>
      </c>
      <c r="C170">
        <v>1E-4</v>
      </c>
      <c r="D170">
        <v>2.8E-3</v>
      </c>
      <c r="E170">
        <f t="shared" si="30"/>
        <v>5.6651985461091661E-18</v>
      </c>
      <c r="F170">
        <f t="shared" si="31"/>
        <v>1.2315541125541122E-2</v>
      </c>
      <c r="G170">
        <f t="shared" si="37"/>
        <v>3.416049352474515E-4</v>
      </c>
      <c r="H170">
        <f t="shared" si="32"/>
        <v>5.3246769315130664E-18</v>
      </c>
      <c r="I170">
        <f t="shared" si="38"/>
        <v>3.2107187481581861E-4</v>
      </c>
      <c r="J170">
        <f t="shared" si="39"/>
        <v>1.0879520478134013E-2</v>
      </c>
      <c r="K170">
        <f t="shared" si="33"/>
        <v>2.1010129870129863E-2</v>
      </c>
      <c r="L170">
        <f t="shared" si="40"/>
        <v>1.0130609391995849E-2</v>
      </c>
      <c r="M170">
        <f t="shared" si="41"/>
        <v>225.12465315546331</v>
      </c>
      <c r="O170">
        <v>2.0999999999999999E-3</v>
      </c>
      <c r="P170">
        <f t="shared" si="34"/>
        <v>-1.5264935064935119E-3</v>
      </c>
      <c r="Q170">
        <f t="shared" si="35"/>
        <v>5.2641781674985317E-18</v>
      </c>
      <c r="R170">
        <f t="shared" si="42"/>
        <v>3.1742386915537631E-4</v>
      </c>
      <c r="S170">
        <f t="shared" si="36"/>
        <v>1.0633699616705107E-2</v>
      </c>
      <c r="T170">
        <f t="shared" si="43"/>
        <v>-1.2160193123198619E-2</v>
      </c>
      <c r="U170">
        <f t="shared" si="44"/>
        <v>-1.298078550976443E-2</v>
      </c>
    </row>
    <row r="171" spans="2:21" x14ac:dyDescent="0.25">
      <c r="B171">
        <v>352</v>
      </c>
      <c r="C171">
        <v>2.9999999999999997E-4</v>
      </c>
      <c r="D171">
        <v>2.8999999999999998E-3</v>
      </c>
      <c r="E171">
        <f t="shared" si="30"/>
        <v>4.257350599146545E-18</v>
      </c>
      <c r="F171">
        <f t="shared" si="31"/>
        <v>1.2687359307359305E-2</v>
      </c>
      <c r="G171">
        <f t="shared" si="37"/>
        <v>3.5191832096303409E-4</v>
      </c>
      <c r="H171">
        <f t="shared" si="32"/>
        <v>4.0014513772351236E-18</v>
      </c>
      <c r="I171">
        <f t="shared" si="38"/>
        <v>3.3076534743793433E-4</v>
      </c>
      <c r="J171">
        <f t="shared" si="39"/>
        <v>1.1207983797934404E-2</v>
      </c>
      <c r="K171">
        <f t="shared" si="33"/>
        <v>2.1385194805194796E-2</v>
      </c>
      <c r="L171">
        <f t="shared" si="40"/>
        <v>1.0177211007260392E-2</v>
      </c>
      <c r="M171">
        <f t="shared" si="41"/>
        <v>226.16024460578649</v>
      </c>
      <c r="O171">
        <v>2.7000000000000001E-3</v>
      </c>
      <c r="P171">
        <f t="shared" si="34"/>
        <v>-8.5688311688312136E-4</v>
      </c>
      <c r="Q171">
        <f t="shared" si="35"/>
        <v>3.9559870484691353E-18</v>
      </c>
      <c r="R171">
        <f t="shared" si="42"/>
        <v>3.2700720493347501E-4</v>
      </c>
      <c r="S171">
        <f t="shared" si="36"/>
        <v>1.0954741365271413E-2</v>
      </c>
      <c r="T171">
        <f t="shared" si="43"/>
        <v>-1.1811624482154535E-2</v>
      </c>
      <c r="U171">
        <f t="shared" si="44"/>
        <v>-1.2635991659476563E-2</v>
      </c>
    </row>
    <row r="172" spans="2:21" x14ac:dyDescent="0.25">
      <c r="B172">
        <v>353</v>
      </c>
      <c r="C172">
        <v>2.9999999999999997E-4</v>
      </c>
      <c r="D172">
        <v>3.0000000000000001E-3</v>
      </c>
      <c r="E172">
        <f t="shared" si="30"/>
        <v>3.1993643252806232E-18</v>
      </c>
      <c r="F172">
        <f t="shared" si="31"/>
        <v>1.2859177489177481E-2</v>
      </c>
      <c r="G172">
        <f t="shared" si="37"/>
        <v>3.5668416423991682E-4</v>
      </c>
      <c r="H172">
        <f t="shared" si="32"/>
        <v>3.0070581427419808E-18</v>
      </c>
      <c r="I172">
        <f t="shared" si="38"/>
        <v>3.3524472720707809E-4</v>
      </c>
      <c r="J172">
        <f t="shared" si="39"/>
        <v>1.135976758141184E-2</v>
      </c>
      <c r="K172">
        <f t="shared" si="33"/>
        <v>2.1760259740259729E-2</v>
      </c>
      <c r="L172">
        <f t="shared" si="40"/>
        <v>1.0400492158847889E-2</v>
      </c>
      <c r="M172">
        <f t="shared" si="41"/>
        <v>231.1220479743975</v>
      </c>
      <c r="O172">
        <v>2.8E-3</v>
      </c>
      <c r="P172">
        <f t="shared" si="34"/>
        <v>-6.8727272727273124E-4</v>
      </c>
      <c r="Q172">
        <f t="shared" si="35"/>
        <v>2.9728920697021209E-18</v>
      </c>
      <c r="R172">
        <f t="shared" si="42"/>
        <v>3.3143569017078699E-4</v>
      </c>
      <c r="S172">
        <f t="shared" si="36"/>
        <v>1.1103095620721364E-2</v>
      </c>
      <c r="T172">
        <f t="shared" si="43"/>
        <v>-1.1790368347994094E-2</v>
      </c>
      <c r="U172">
        <f t="shared" si="44"/>
        <v>-1.2632821585686894E-2</v>
      </c>
    </row>
    <row r="173" spans="2:21" x14ac:dyDescent="0.25">
      <c r="B173">
        <v>354</v>
      </c>
      <c r="C173">
        <v>1E-4</v>
      </c>
      <c r="D173">
        <v>2.7000000000000001E-3</v>
      </c>
      <c r="E173">
        <f t="shared" si="30"/>
        <v>2.4042962512719279E-18</v>
      </c>
      <c r="F173">
        <f t="shared" si="31"/>
        <v>1.2830995670995663E-2</v>
      </c>
      <c r="G173">
        <f t="shared" si="37"/>
        <v>3.5590246507810006E-4</v>
      </c>
      <c r="H173">
        <f t="shared" si="32"/>
        <v>2.2597797202471233E-18</v>
      </c>
      <c r="I173">
        <f t="shared" si="38"/>
        <v>3.3451001412325036E-4</v>
      </c>
      <c r="J173">
        <f t="shared" si="39"/>
        <v>1.1334871828566339E-2</v>
      </c>
      <c r="K173">
        <f t="shared" si="33"/>
        <v>2.1735324675324678E-2</v>
      </c>
      <c r="L173">
        <f t="shared" si="40"/>
        <v>1.040045284675834E-2</v>
      </c>
      <c r="M173">
        <f t="shared" si="41"/>
        <v>231.12117437240752</v>
      </c>
      <c r="O173">
        <v>2.8E-3</v>
      </c>
      <c r="P173">
        <f t="shared" si="34"/>
        <v>-6.1766233766234096E-4</v>
      </c>
      <c r="Q173">
        <f t="shared" si="35"/>
        <v>2.2341041944305337E-18</v>
      </c>
      <c r="R173">
        <f t="shared" si="42"/>
        <v>3.3070932486731257E-4</v>
      </c>
      <c r="S173">
        <f t="shared" si="36"/>
        <v>1.107876238305497E-2</v>
      </c>
      <c r="T173">
        <f t="shared" si="43"/>
        <v>-1.1696424720717311E-2</v>
      </c>
      <c r="U173">
        <f t="shared" si="44"/>
        <v>-1.253887477408031E-2</v>
      </c>
    </row>
    <row r="174" spans="2:21" x14ac:dyDescent="0.25">
      <c r="B174">
        <v>355</v>
      </c>
      <c r="C174">
        <v>5.0000000000000001E-4</v>
      </c>
      <c r="D174">
        <v>2.5999999999999999E-3</v>
      </c>
      <c r="E174">
        <f t="shared" si="30"/>
        <v>1.8068090646016863E-18</v>
      </c>
      <c r="F174">
        <f t="shared" si="31"/>
        <v>1.3402813852813847E-2</v>
      </c>
      <c r="G174">
        <f t="shared" si="37"/>
        <v>3.7176339323238231E-4</v>
      </c>
      <c r="H174">
        <f t="shared" si="32"/>
        <v>1.698206067736274E-18</v>
      </c>
      <c r="I174">
        <f t="shared" si="38"/>
        <v>3.4941757959833784E-4</v>
      </c>
      <c r="J174">
        <f t="shared" si="39"/>
        <v>1.1840014684689678E-2</v>
      </c>
      <c r="K174">
        <f t="shared" si="33"/>
        <v>2.1910389610389609E-2</v>
      </c>
      <c r="L174">
        <f t="shared" si="40"/>
        <v>1.0070374925699932E-2</v>
      </c>
      <c r="M174">
        <f t="shared" si="41"/>
        <v>223.78610945999847</v>
      </c>
      <c r="O174">
        <v>2.3999999999999998E-3</v>
      </c>
      <c r="P174">
        <f t="shared" si="34"/>
        <v>-9.4805194805195085E-4</v>
      </c>
      <c r="Q174">
        <f t="shared" si="35"/>
        <v>1.6789111190546018E-18</v>
      </c>
      <c r="R174">
        <f t="shared" si="42"/>
        <v>3.45447511186198E-4</v>
      </c>
      <c r="S174">
        <f t="shared" si="36"/>
        <v>1.1572491624737634E-2</v>
      </c>
      <c r="T174">
        <f t="shared" si="43"/>
        <v>-1.2520543572789585E-2</v>
      </c>
      <c r="U174">
        <f t="shared" si="44"/>
        <v>-1.3336256890136683E-2</v>
      </c>
    </row>
    <row r="175" spans="2:21" x14ac:dyDescent="0.25">
      <c r="B175">
        <v>356</v>
      </c>
      <c r="C175">
        <v>1E-4</v>
      </c>
      <c r="D175">
        <v>2.3999999999999998E-3</v>
      </c>
      <c r="E175">
        <f t="shared" si="30"/>
        <v>1.3578023066832014E-18</v>
      </c>
      <c r="F175">
        <f t="shared" si="31"/>
        <v>1.3174632034632029E-2</v>
      </c>
      <c r="G175">
        <f t="shared" si="37"/>
        <v>3.654341516318659E-4</v>
      </c>
      <c r="H175">
        <f t="shared" si="32"/>
        <v>1.2761880384433673E-18</v>
      </c>
      <c r="I175">
        <f t="shared" si="38"/>
        <v>3.4346877366153825E-4</v>
      </c>
      <c r="J175">
        <f t="shared" si="39"/>
        <v>1.1638439395521222E-2</v>
      </c>
      <c r="K175">
        <f t="shared" si="33"/>
        <v>2.1985454545454544E-2</v>
      </c>
      <c r="L175">
        <f t="shared" si="40"/>
        <v>1.0347015149933322E-2</v>
      </c>
      <c r="M175">
        <f t="shared" si="41"/>
        <v>229.93366999851824</v>
      </c>
      <c r="O175">
        <v>2.2000000000000001E-3</v>
      </c>
      <c r="P175">
        <f t="shared" si="34"/>
        <v>-1.0784415584415637E-3</v>
      </c>
      <c r="Q175">
        <f t="shared" si="35"/>
        <v>1.2616880415479654E-18</v>
      </c>
      <c r="R175">
        <f t="shared" si="42"/>
        <v>3.3956629534193691E-4</v>
      </c>
      <c r="S175">
        <f t="shared" si="36"/>
        <v>1.1375470893954886E-2</v>
      </c>
      <c r="T175">
        <f t="shared" si="43"/>
        <v>-1.2453912452396449E-2</v>
      </c>
      <c r="U175">
        <f t="shared" si="44"/>
        <v>-1.3292033983607083E-2</v>
      </c>
    </row>
    <row r="176" spans="2:21" x14ac:dyDescent="0.25">
      <c r="B176">
        <v>357</v>
      </c>
      <c r="C176">
        <v>2.9999999999999997E-4</v>
      </c>
      <c r="D176">
        <v>2.8E-3</v>
      </c>
      <c r="E176">
        <f t="shared" si="30"/>
        <v>1.0203773825103461E-18</v>
      </c>
      <c r="F176">
        <f t="shared" si="31"/>
        <v>1.3546450216450212E-2</v>
      </c>
      <c r="G176">
        <f t="shared" si="37"/>
        <v>3.7574753734744844E-4</v>
      </c>
      <c r="H176">
        <f t="shared" si="32"/>
        <v>9.5904492417516573E-19</v>
      </c>
      <c r="I176">
        <f t="shared" si="38"/>
        <v>3.5316224628365392E-4</v>
      </c>
      <c r="J176">
        <f t="shared" si="39"/>
        <v>1.1966902715321612E-2</v>
      </c>
      <c r="K176">
        <f t="shared" si="33"/>
        <v>2.2660519480519479E-2</v>
      </c>
      <c r="L176">
        <f t="shared" si="40"/>
        <v>1.0693616765197866E-2</v>
      </c>
      <c r="M176">
        <f t="shared" si="41"/>
        <v>237.63592811550814</v>
      </c>
      <c r="O176">
        <v>2.5000000000000001E-3</v>
      </c>
      <c r="P176">
        <f t="shared" si="34"/>
        <v>-7.0883116883117348E-4</v>
      </c>
      <c r="Q176">
        <f t="shared" si="35"/>
        <v>9.4814829452170724E-19</v>
      </c>
      <c r="R176">
        <f t="shared" si="42"/>
        <v>3.4914963112003556E-4</v>
      </c>
      <c r="S176">
        <f t="shared" si="36"/>
        <v>1.1696512642521192E-2</v>
      </c>
      <c r="T176">
        <f t="shared" si="43"/>
        <v>-1.2405343811352365E-2</v>
      </c>
      <c r="U176">
        <f t="shared" si="44"/>
        <v>-1.3271540519055561E-2</v>
      </c>
    </row>
    <row r="177" spans="2:21" x14ac:dyDescent="0.25">
      <c r="B177">
        <v>358</v>
      </c>
      <c r="C177">
        <v>-2.0000000000000001E-4</v>
      </c>
      <c r="D177">
        <v>2.3999999999999998E-3</v>
      </c>
      <c r="E177">
        <f t="shared" si="30"/>
        <v>7.6680529824845886E-19</v>
      </c>
      <c r="F177">
        <f t="shared" si="31"/>
        <v>1.3218268398268394E-2</v>
      </c>
      <c r="G177">
        <f t="shared" si="37"/>
        <v>3.6664452452758224E-4</v>
      </c>
      <c r="H177">
        <f t="shared" si="32"/>
        <v>7.2071445498582681E-19</v>
      </c>
      <c r="I177">
        <f t="shared" si="38"/>
        <v>3.4460639392036845E-4</v>
      </c>
      <c r="J177">
        <f t="shared" si="39"/>
        <v>1.1676987657991683E-2</v>
      </c>
      <c r="K177">
        <f t="shared" si="33"/>
        <v>2.2535584415584411E-2</v>
      </c>
      <c r="L177">
        <f t="shared" si="40"/>
        <v>1.0858596757592728E-2</v>
      </c>
      <c r="M177">
        <f t="shared" si="41"/>
        <v>241.30215016872728</v>
      </c>
      <c r="O177">
        <v>2.3999999999999998E-3</v>
      </c>
      <c r="P177">
        <f t="shared" si="34"/>
        <v>-7.3922077922078345E-4</v>
      </c>
      <c r="Q177">
        <f t="shared" si="35"/>
        <v>7.1252572648738963E-19</v>
      </c>
      <c r="R177">
        <f t="shared" si="42"/>
        <v>3.4069099000538127E-4</v>
      </c>
      <c r="S177">
        <f t="shared" si="36"/>
        <v>1.1413148165180272E-2</v>
      </c>
      <c r="T177">
        <f t="shared" si="43"/>
        <v>-1.2152368944401056E-2</v>
      </c>
      <c r="U177">
        <f t="shared" si="44"/>
        <v>-1.3031929243617501E-2</v>
      </c>
    </row>
    <row r="178" spans="2:21" x14ac:dyDescent="0.25">
      <c r="B178">
        <v>359</v>
      </c>
      <c r="C178">
        <v>1E-4</v>
      </c>
      <c r="D178">
        <v>2.3999999999999998E-3</v>
      </c>
      <c r="E178">
        <f t="shared" si="30"/>
        <v>5.7624794071320001E-19</v>
      </c>
      <c r="F178">
        <f t="shared" si="31"/>
        <v>1.3690086580086577E-2</v>
      </c>
      <c r="G178">
        <f t="shared" si="37"/>
        <v>3.7973168146251463E-4</v>
      </c>
      <c r="H178">
        <f t="shared" si="32"/>
        <v>5.4161104712822536E-19</v>
      </c>
      <c r="I178">
        <f t="shared" si="38"/>
        <v>3.5690691296897005E-4</v>
      </c>
      <c r="J178">
        <f t="shared" si="39"/>
        <v>1.2093790745953549E-2</v>
      </c>
      <c r="K178">
        <f t="shared" si="33"/>
        <v>2.2810649350649345E-2</v>
      </c>
      <c r="L178">
        <f t="shared" si="40"/>
        <v>1.0716858604695796E-2</v>
      </c>
      <c r="M178">
        <f t="shared" si="41"/>
        <v>238.15241343768434</v>
      </c>
      <c r="O178">
        <v>2.3E-3</v>
      </c>
      <c r="P178">
        <f t="shared" si="34"/>
        <v>-7.6961038961039299E-4</v>
      </c>
      <c r="Q178">
        <f t="shared" si="35"/>
        <v>5.3545728430855988E-19</v>
      </c>
      <c r="R178">
        <f t="shared" si="42"/>
        <v>3.5285175105387334E-4</v>
      </c>
      <c r="S178">
        <f t="shared" si="36"/>
        <v>1.1820533660304756E-2</v>
      </c>
      <c r="T178">
        <f t="shared" si="43"/>
        <v>-1.2590144049915149E-2</v>
      </c>
      <c r="U178">
        <f t="shared" si="44"/>
        <v>-1.3458223376501752E-2</v>
      </c>
    </row>
    <row r="179" spans="2:21" x14ac:dyDescent="0.25">
      <c r="B179">
        <v>360</v>
      </c>
      <c r="C179">
        <v>2.0000000000000001E-4</v>
      </c>
      <c r="D179">
        <v>2.5000000000000001E-3</v>
      </c>
      <c r="E179">
        <f t="shared" si="30"/>
        <v>4.3304563744499231E-19</v>
      </c>
      <c r="F179">
        <f t="shared" si="31"/>
        <v>1.396190476190476E-2</v>
      </c>
      <c r="G179">
        <f t="shared" si="37"/>
        <v>3.8727129595874738E-4</v>
      </c>
      <c r="H179">
        <f t="shared" si="32"/>
        <v>4.0701629382069134E-19</v>
      </c>
      <c r="I179">
        <f t="shared" si="38"/>
        <v>3.639933391645999E-4</v>
      </c>
      <c r="J179">
        <f t="shared" si="39"/>
        <v>1.2333914297592468E-2</v>
      </c>
      <c r="K179">
        <f t="shared" si="33"/>
        <v>2.3185714285714278E-2</v>
      </c>
      <c r="L179">
        <f t="shared" si="40"/>
        <v>1.0851799988121811E-2</v>
      </c>
      <c r="M179">
        <f t="shared" si="41"/>
        <v>241.15111084715133</v>
      </c>
      <c r="O179">
        <v>2.2000000000000001E-3</v>
      </c>
      <c r="P179">
        <f t="shared" si="34"/>
        <v>-8.00000000000006E-4</v>
      </c>
      <c r="Q179">
        <f t="shared" si="35"/>
        <v>4.0239179114632317E-19</v>
      </c>
      <c r="R179">
        <f t="shared" si="42"/>
        <v>3.5985766156157879E-4</v>
      </c>
      <c r="S179">
        <f t="shared" si="36"/>
        <v>1.205523166231289E-2</v>
      </c>
      <c r="T179">
        <f t="shared" si="43"/>
        <v>-1.2855231662312895E-2</v>
      </c>
      <c r="U179">
        <f t="shared" si="44"/>
        <v>-1.3734241414462991E-2</v>
      </c>
    </row>
    <row r="180" spans="2:21" x14ac:dyDescent="0.25">
      <c r="B180">
        <v>361</v>
      </c>
      <c r="C180">
        <v>1E-4</v>
      </c>
      <c r="D180">
        <v>2.3999999999999998E-3</v>
      </c>
      <c r="E180">
        <f t="shared" si="30"/>
        <v>3.2543027204234841E-19</v>
      </c>
      <c r="F180">
        <f t="shared" si="31"/>
        <v>1.4033722943722935E-2</v>
      </c>
      <c r="G180">
        <f t="shared" si="37"/>
        <v>3.8926336801628025E-4</v>
      </c>
      <c r="H180">
        <f t="shared" si="32"/>
        <v>3.058694321578546E-19</v>
      </c>
      <c r="I180">
        <f t="shared" si="38"/>
        <v>3.6586567250725772E-4</v>
      </c>
      <c r="J180">
        <f t="shared" si="39"/>
        <v>1.2397358312908427E-2</v>
      </c>
      <c r="K180">
        <f t="shared" si="33"/>
        <v>2.3360779220779213E-2</v>
      </c>
      <c r="L180">
        <f t="shared" si="40"/>
        <v>1.0963420907870785E-2</v>
      </c>
      <c r="M180">
        <f t="shared" si="41"/>
        <v>243.63157573046189</v>
      </c>
      <c r="O180">
        <v>2.0999999999999999E-3</v>
      </c>
      <c r="P180">
        <f t="shared" si="34"/>
        <v>-8.3038961038961598E-4</v>
      </c>
      <c r="Q180">
        <f t="shared" si="35"/>
        <v>3.0239415603624411E-19</v>
      </c>
      <c r="R180">
        <f t="shared" si="42"/>
        <v>3.6170872152849746E-4</v>
      </c>
      <c r="S180">
        <f t="shared" si="36"/>
        <v>1.2117242171204665E-2</v>
      </c>
      <c r="T180">
        <f t="shared" si="43"/>
        <v>-1.2947631781594282E-2</v>
      </c>
      <c r="U180">
        <f t="shared" si="44"/>
        <v>-1.3835682971764863E-2</v>
      </c>
    </row>
    <row r="181" spans="2:21" x14ac:dyDescent="0.25">
      <c r="B181">
        <v>362</v>
      </c>
      <c r="C181">
        <v>-2.0000000000000001E-4</v>
      </c>
      <c r="D181">
        <v>2.3999999999999998E-3</v>
      </c>
      <c r="E181">
        <f t="shared" si="30"/>
        <v>2.445582008085931E-19</v>
      </c>
      <c r="F181">
        <f t="shared" si="31"/>
        <v>1.3905541125541118E-2</v>
      </c>
      <c r="G181">
        <f t="shared" si="37"/>
        <v>3.8570789763511364E-4</v>
      </c>
      <c r="H181">
        <f t="shared" si="32"/>
        <v>2.2985838883832177E-19</v>
      </c>
      <c r="I181">
        <f t="shared" si="38"/>
        <v>3.6252391299694401E-4</v>
      </c>
      <c r="J181">
        <f t="shared" si="39"/>
        <v>1.2284122791901447E-2</v>
      </c>
      <c r="K181">
        <f t="shared" si="33"/>
        <v>2.3635844155844146E-2</v>
      </c>
      <c r="L181">
        <f t="shared" si="40"/>
        <v>1.1351721363942699E-2</v>
      </c>
      <c r="M181">
        <f t="shared" si="41"/>
        <v>252.2604747542822</v>
      </c>
      <c r="O181">
        <v>2.3999999999999998E-3</v>
      </c>
      <c r="P181">
        <f t="shared" si="34"/>
        <v>-4.6077922077922577E-4</v>
      </c>
      <c r="Q181">
        <f t="shared" si="35"/>
        <v>2.2724674711771519E-19</v>
      </c>
      <c r="R181">
        <f t="shared" si="42"/>
        <v>3.5840493095462962E-4</v>
      </c>
      <c r="S181">
        <f t="shared" si="36"/>
        <v>1.2006565186980093E-2</v>
      </c>
      <c r="T181">
        <f t="shared" si="43"/>
        <v>-1.2467344407759319E-2</v>
      </c>
      <c r="U181">
        <f t="shared" si="44"/>
        <v>-1.3386848434143723E-2</v>
      </c>
    </row>
    <row r="182" spans="2:21" x14ac:dyDescent="0.25">
      <c r="B182">
        <v>363</v>
      </c>
      <c r="C182">
        <v>1E-4</v>
      </c>
      <c r="D182">
        <v>2.5999999999999999E-3</v>
      </c>
      <c r="E182">
        <f t="shared" si="30"/>
        <v>1.8378349748284262E-19</v>
      </c>
      <c r="F182">
        <f t="shared" si="31"/>
        <v>1.43773593073593E-2</v>
      </c>
      <c r="G182">
        <f t="shared" si="37"/>
        <v>3.9879505457004604E-4</v>
      </c>
      <c r="H182">
        <f t="shared" si="32"/>
        <v>1.7273670842688676E-19</v>
      </c>
      <c r="I182">
        <f t="shared" si="38"/>
        <v>3.7482443204554555E-4</v>
      </c>
      <c r="J182">
        <f t="shared" si="39"/>
        <v>1.2700925879863311E-2</v>
      </c>
      <c r="K182">
        <f t="shared" si="33"/>
        <v>2.4110909090909079E-2</v>
      </c>
      <c r="L182">
        <f t="shared" si="40"/>
        <v>1.1409983211045768E-2</v>
      </c>
      <c r="M182">
        <f t="shared" si="41"/>
        <v>253.55518246768372</v>
      </c>
      <c r="O182">
        <v>2.3999999999999998E-3</v>
      </c>
      <c r="P182">
        <f t="shared" si="34"/>
        <v>-3.9116883116883548E-4</v>
      </c>
      <c r="Q182">
        <f t="shared" si="35"/>
        <v>1.7077408092963573E-19</v>
      </c>
      <c r="R182">
        <f t="shared" si="42"/>
        <v>3.7056569200312163E-4</v>
      </c>
      <c r="S182">
        <f t="shared" si="36"/>
        <v>1.2413950682104574E-2</v>
      </c>
      <c r="T182">
        <f t="shared" si="43"/>
        <v>-1.280511951327341E-2</v>
      </c>
      <c r="U182">
        <f t="shared" si="44"/>
        <v>-1.3729342824185536E-2</v>
      </c>
    </row>
    <row r="183" spans="2:21" x14ac:dyDescent="0.25">
      <c r="B183">
        <v>364</v>
      </c>
      <c r="C183">
        <v>0</v>
      </c>
      <c r="D183">
        <v>2.0999999999999999E-3</v>
      </c>
      <c r="E183">
        <f t="shared" si="30"/>
        <v>1.3811180257030845E-19</v>
      </c>
      <c r="F183">
        <f t="shared" si="31"/>
        <v>1.4449177489177491E-2</v>
      </c>
      <c r="G183">
        <f t="shared" si="37"/>
        <v>4.0078712662757935E-4</v>
      </c>
      <c r="H183">
        <f t="shared" si="32"/>
        <v>1.2981023050302068E-19</v>
      </c>
      <c r="I183">
        <f t="shared" si="38"/>
        <v>3.7669676538820387E-4</v>
      </c>
      <c r="J183">
        <f t="shared" si="39"/>
        <v>1.2764369895179288E-2</v>
      </c>
      <c r="K183">
        <f t="shared" si="33"/>
        <v>2.3885974025974029E-2</v>
      </c>
      <c r="L183">
        <f t="shared" si="40"/>
        <v>1.1121604130794742E-2</v>
      </c>
      <c r="M183">
        <f t="shared" si="41"/>
        <v>247.14675846210534</v>
      </c>
      <c r="O183">
        <v>2.0999999999999999E-3</v>
      </c>
      <c r="P183">
        <f t="shared" si="34"/>
        <v>-6.2155844155844511E-4</v>
      </c>
      <c r="Q183">
        <f t="shared" si="35"/>
        <v>1.2833533191238581E-19</v>
      </c>
      <c r="R183">
        <f t="shared" si="42"/>
        <v>3.7241675197004074E-4</v>
      </c>
      <c r="S183">
        <f t="shared" si="36"/>
        <v>1.2475961190996365E-2</v>
      </c>
      <c r="T183">
        <f t="shared" si="43"/>
        <v>-1.3097519632554811E-2</v>
      </c>
      <c r="U183">
        <f t="shared" si="44"/>
        <v>-1.3998383867172295E-2</v>
      </c>
    </row>
    <row r="184" spans="2:21" x14ac:dyDescent="0.25">
      <c r="B184">
        <v>365</v>
      </c>
      <c r="C184">
        <v>2.0000000000000001E-4</v>
      </c>
      <c r="D184">
        <v>2.3999999999999998E-3</v>
      </c>
      <c r="E184">
        <f t="shared" si="30"/>
        <v>1.0378989555904215E-19</v>
      </c>
      <c r="F184">
        <f t="shared" si="31"/>
        <v>1.4820995670995667E-2</v>
      </c>
      <c r="G184">
        <f t="shared" si="37"/>
        <v>4.1110051234316173E-4</v>
      </c>
      <c r="H184">
        <f t="shared" si="32"/>
        <v>9.7551331715803373E-20</v>
      </c>
      <c r="I184">
        <f t="shared" si="38"/>
        <v>3.8639023801031937E-4</v>
      </c>
      <c r="J184">
        <f t="shared" si="39"/>
        <v>1.3092833214979671E-2</v>
      </c>
      <c r="K184">
        <f t="shared" si="33"/>
        <v>2.4461038961038961E-2</v>
      </c>
      <c r="L184">
        <f t="shared" si="40"/>
        <v>1.136820574605929E-2</v>
      </c>
      <c r="M184">
        <f t="shared" si="41"/>
        <v>252.62679435687309</v>
      </c>
      <c r="O184">
        <v>2.3E-3</v>
      </c>
      <c r="P184">
        <f t="shared" si="34"/>
        <v>-3.519480519480582E-4</v>
      </c>
      <c r="Q184">
        <f t="shared" si="35"/>
        <v>9.6442957428933543E-20</v>
      </c>
      <c r="R184">
        <f t="shared" si="42"/>
        <v>3.8200008774813928E-4</v>
      </c>
      <c r="S184">
        <f t="shared" si="36"/>
        <v>1.2797002939562666E-2</v>
      </c>
      <c r="T184">
        <f t="shared" si="43"/>
        <v>-1.3148950991510724E-2</v>
      </c>
      <c r="U184">
        <f t="shared" si="44"/>
        <v>-1.4069790274041989E-2</v>
      </c>
    </row>
    <row r="185" spans="2:21" x14ac:dyDescent="0.25">
      <c r="B185">
        <v>366</v>
      </c>
      <c r="C185">
        <v>-2.9999999999999997E-4</v>
      </c>
      <c r="D185">
        <v>2.3E-3</v>
      </c>
      <c r="E185">
        <f t="shared" si="30"/>
        <v>7.7997261781251563E-20</v>
      </c>
      <c r="F185">
        <f t="shared" si="31"/>
        <v>1.4492813852813842E-2</v>
      </c>
      <c r="G185">
        <f t="shared" si="37"/>
        <v>4.0199749952329531E-4</v>
      </c>
      <c r="H185">
        <f t="shared" si="32"/>
        <v>7.3309031827851698E-20</v>
      </c>
      <c r="I185">
        <f t="shared" si="38"/>
        <v>3.7783438564703385E-4</v>
      </c>
      <c r="J185">
        <f t="shared" si="39"/>
        <v>1.2802918157649742E-2</v>
      </c>
      <c r="K185">
        <f t="shared" si="33"/>
        <v>2.4636103896103895E-2</v>
      </c>
      <c r="L185">
        <f t="shared" si="40"/>
        <v>1.1833185738454153E-2</v>
      </c>
      <c r="M185">
        <f t="shared" si="41"/>
        <v>262.95968307675895</v>
      </c>
      <c r="O185">
        <v>2.2000000000000001E-3</v>
      </c>
      <c r="P185">
        <f t="shared" si="34"/>
        <v>-3.8233766233766774E-4</v>
      </c>
      <c r="Q185">
        <f t="shared" si="35"/>
        <v>7.2476097572171516E-20</v>
      </c>
      <c r="R185">
        <f t="shared" si="42"/>
        <v>3.7354144663348483E-4</v>
      </c>
      <c r="S185">
        <f t="shared" si="36"/>
        <v>1.2513638462221742E-2</v>
      </c>
      <c r="T185">
        <f t="shared" si="43"/>
        <v>-1.289597612455941E-2</v>
      </c>
      <c r="U185">
        <f t="shared" si="44"/>
        <v>-1.3854479384340269E-2</v>
      </c>
    </row>
    <row r="186" spans="2:21" x14ac:dyDescent="0.25">
      <c r="B186">
        <v>367</v>
      </c>
      <c r="C186">
        <v>-1E-4</v>
      </c>
      <c r="D186">
        <v>2.5000000000000001E-3</v>
      </c>
      <c r="E186">
        <f t="shared" si="30"/>
        <v>5.8614307419862595E-20</v>
      </c>
      <c r="F186">
        <f t="shared" si="31"/>
        <v>1.4864632034632033E-2</v>
      </c>
      <c r="G186">
        <f t="shared" si="37"/>
        <v>4.1231088523887807E-4</v>
      </c>
      <c r="H186">
        <f t="shared" si="32"/>
        <v>5.5091140766727069E-20</v>
      </c>
      <c r="I186">
        <f t="shared" si="38"/>
        <v>3.8752785826914974E-4</v>
      </c>
      <c r="J186">
        <f t="shared" si="39"/>
        <v>1.3131381477450138E-2</v>
      </c>
      <c r="K186">
        <f t="shared" si="33"/>
        <v>2.5111168831168828E-2</v>
      </c>
      <c r="L186">
        <f t="shared" si="40"/>
        <v>1.197978735371869E-2</v>
      </c>
      <c r="M186">
        <f t="shared" si="41"/>
        <v>266.21749674930419</v>
      </c>
      <c r="O186">
        <v>2.2000000000000001E-3</v>
      </c>
      <c r="P186">
        <f t="shared" si="34"/>
        <v>-3.1272727272727745E-4</v>
      </c>
      <c r="Q186">
        <f t="shared" si="35"/>
        <v>5.4465197452718213E-20</v>
      </c>
      <c r="R186">
        <f t="shared" si="42"/>
        <v>3.831247824115837E-4</v>
      </c>
      <c r="S186">
        <f t="shared" si="36"/>
        <v>1.2834680210788053E-2</v>
      </c>
      <c r="T186">
        <f t="shared" si="43"/>
        <v>-1.314740748351533E-2</v>
      </c>
      <c r="U186">
        <f t="shared" si="44"/>
        <v>-1.4117785662631187E-2</v>
      </c>
    </row>
    <row r="187" spans="2:21" x14ac:dyDescent="0.25">
      <c r="B187">
        <v>368</v>
      </c>
      <c r="C187">
        <v>-2.0000000000000001E-4</v>
      </c>
      <c r="D187">
        <v>2.3E-3</v>
      </c>
      <c r="E187">
        <f t="shared" si="30"/>
        <v>4.4048174972418958E-20</v>
      </c>
      <c r="F187">
        <f t="shared" si="31"/>
        <v>1.4936450216450207E-2</v>
      </c>
      <c r="G187">
        <f t="shared" si="37"/>
        <v>4.1430295729641094E-4</v>
      </c>
      <c r="H187">
        <f t="shared" si="32"/>
        <v>4.1400543907145687E-20</v>
      </c>
      <c r="I187">
        <f t="shared" si="38"/>
        <v>3.8940019161180751E-4</v>
      </c>
      <c r="J187">
        <f t="shared" si="39"/>
        <v>1.3194825492766097E-2</v>
      </c>
      <c r="K187">
        <f t="shared" si="33"/>
        <v>2.5186233766233763E-2</v>
      </c>
      <c r="L187">
        <f t="shared" si="40"/>
        <v>1.1991408273467665E-2</v>
      </c>
      <c r="M187">
        <f t="shared" si="41"/>
        <v>266.47573941039252</v>
      </c>
      <c r="O187">
        <v>1.9E-3</v>
      </c>
      <c r="P187">
        <f t="shared" si="34"/>
        <v>-5.431168831168873E-4</v>
      </c>
      <c r="Q187">
        <f t="shared" si="35"/>
        <v>4.0930152601132673E-20</v>
      </c>
      <c r="R187">
        <f t="shared" si="42"/>
        <v>3.8497584237850237E-4</v>
      </c>
      <c r="S187">
        <f t="shared" si="36"/>
        <v>1.2896690719679828E-2</v>
      </c>
      <c r="T187">
        <f t="shared" si="43"/>
        <v>-1.3439807602796715E-2</v>
      </c>
      <c r="U187">
        <f t="shared" si="44"/>
        <v>-1.4411127091354276E-2</v>
      </c>
    </row>
    <row r="188" spans="2:21" x14ac:dyDescent="0.25">
      <c r="B188">
        <v>369</v>
      </c>
      <c r="C188">
        <v>0</v>
      </c>
      <c r="D188">
        <v>2.0999999999999999E-3</v>
      </c>
      <c r="E188">
        <f t="shared" si="30"/>
        <v>3.3101844989869498E-20</v>
      </c>
      <c r="F188">
        <f t="shared" si="31"/>
        <v>1.5308268398268397E-2</v>
      </c>
      <c r="G188">
        <f t="shared" si="37"/>
        <v>4.246163430119937E-4</v>
      </c>
      <c r="H188">
        <f t="shared" si="32"/>
        <v>3.1112171793013645E-20</v>
      </c>
      <c r="I188">
        <f t="shared" si="38"/>
        <v>3.9909366423392339E-4</v>
      </c>
      <c r="J188">
        <f t="shared" si="39"/>
        <v>1.3523288812566493E-2</v>
      </c>
      <c r="K188">
        <f t="shared" si="33"/>
        <v>2.5261298701298698E-2</v>
      </c>
      <c r="L188">
        <f t="shared" si="40"/>
        <v>1.1738009888732205E-2</v>
      </c>
      <c r="M188">
        <f t="shared" si="41"/>
        <v>260.84466419404896</v>
      </c>
      <c r="O188">
        <v>2.0999999999999999E-3</v>
      </c>
      <c r="P188">
        <f t="shared" si="34"/>
        <v>-2.7350649350649714E-4</v>
      </c>
      <c r="Q188">
        <f t="shared" si="35"/>
        <v>3.0758676554993576E-20</v>
      </c>
      <c r="R188">
        <f t="shared" si="42"/>
        <v>3.9455917815660134E-4</v>
      </c>
      <c r="S188">
        <f t="shared" si="36"/>
        <v>1.3217732468246144E-2</v>
      </c>
      <c r="T188">
        <f t="shared" si="43"/>
        <v>-1.3491238961752642E-2</v>
      </c>
      <c r="U188">
        <f t="shared" si="44"/>
        <v>-1.4442032855330075E-2</v>
      </c>
    </row>
    <row r="189" spans="2:21" x14ac:dyDescent="0.25">
      <c r="B189">
        <v>370</v>
      </c>
      <c r="C189">
        <v>5.0000000000000001E-4</v>
      </c>
      <c r="D189">
        <v>2.5000000000000001E-3</v>
      </c>
      <c r="E189">
        <f t="shared" si="30"/>
        <v>2.487576709862419E-20</v>
      </c>
      <c r="F189">
        <f t="shared" si="31"/>
        <v>1.5980086580086574E-2</v>
      </c>
      <c r="G189">
        <f t="shared" si="37"/>
        <v>4.4325104238562558E-4</v>
      </c>
      <c r="H189">
        <f t="shared" si="32"/>
        <v>2.3380543884857448E-20</v>
      </c>
      <c r="I189">
        <f t="shared" si="38"/>
        <v>4.1660827613549658E-4</v>
      </c>
      <c r="J189">
        <f t="shared" si="39"/>
        <v>1.41167714368513E-2</v>
      </c>
      <c r="K189">
        <f t="shared" si="33"/>
        <v>2.5936363636363629E-2</v>
      </c>
      <c r="L189">
        <f t="shared" si="40"/>
        <v>1.1819592199512329E-2</v>
      </c>
      <c r="M189">
        <f t="shared" si="41"/>
        <v>262.65760443360728</v>
      </c>
      <c r="O189">
        <v>2.3E-3</v>
      </c>
      <c r="P189">
        <f t="shared" si="34"/>
        <v>-3.8961038961102257E-6</v>
      </c>
      <c r="Q189">
        <f t="shared" si="35"/>
        <v>2.311489509053341E-20</v>
      </c>
      <c r="R189">
        <f t="shared" si="42"/>
        <v>4.1187478974587981E-4</v>
      </c>
      <c r="S189">
        <f t="shared" si="36"/>
        <v>1.3797805456486973E-2</v>
      </c>
      <c r="T189">
        <f t="shared" si="43"/>
        <v>-1.3801701560383083E-2</v>
      </c>
      <c r="U189">
        <f t="shared" si="44"/>
        <v>-1.4759103726031248E-2</v>
      </c>
    </row>
    <row r="190" spans="2:21" x14ac:dyDescent="0.25">
      <c r="B190">
        <v>371</v>
      </c>
      <c r="C190">
        <v>-2.0000000000000001E-4</v>
      </c>
      <c r="D190">
        <v>2.3999999999999998E-3</v>
      </c>
      <c r="E190">
        <f t="shared" si="30"/>
        <v>1.869393651424483E-20</v>
      </c>
      <c r="F190">
        <f t="shared" si="31"/>
        <v>1.5451904761904762E-2</v>
      </c>
      <c r="G190">
        <f t="shared" si="37"/>
        <v>4.2860048712705989E-4</v>
      </c>
      <c r="H190">
        <f t="shared" si="32"/>
        <v>1.7570288438510654E-20</v>
      </c>
      <c r="I190">
        <f t="shared" si="38"/>
        <v>4.0283833091923953E-4</v>
      </c>
      <c r="J190">
        <f t="shared" si="39"/>
        <v>1.3650176843198431E-2</v>
      </c>
      <c r="K190">
        <f t="shared" si="33"/>
        <v>2.6111428571428563E-2</v>
      </c>
      <c r="L190">
        <f t="shared" si="40"/>
        <v>1.2461251728230132E-2</v>
      </c>
      <c r="M190">
        <f t="shared" si="41"/>
        <v>276.91670507178071</v>
      </c>
      <c r="O190">
        <v>1.8E-3</v>
      </c>
      <c r="P190">
        <f t="shared" si="34"/>
        <v>-4.3428571428571995E-4</v>
      </c>
      <c r="Q190">
        <f t="shared" si="35"/>
        <v>1.737065553165433E-20</v>
      </c>
      <c r="R190">
        <f t="shared" si="42"/>
        <v>3.9826129809043901E-4</v>
      </c>
      <c r="S190">
        <f t="shared" si="36"/>
        <v>1.3341753486029707E-2</v>
      </c>
      <c r="T190">
        <f t="shared" si="43"/>
        <v>-1.3776039200315428E-2</v>
      </c>
      <c r="U190">
        <f t="shared" si="44"/>
        <v>-1.4785416612827739E-2</v>
      </c>
    </row>
    <row r="191" spans="2:21" x14ac:dyDescent="0.25">
      <c r="B191">
        <v>372</v>
      </c>
      <c r="C191">
        <v>-4.0000000000000002E-4</v>
      </c>
      <c r="D191">
        <v>1.9E-3</v>
      </c>
      <c r="E191">
        <f t="shared" si="30"/>
        <v>1.4048341143133891E-20</v>
      </c>
      <c r="F191">
        <f t="shared" si="31"/>
        <v>1.5423722943722939E-2</v>
      </c>
      <c r="G191">
        <f t="shared" si="37"/>
        <v>4.2781878796524297E-4</v>
      </c>
      <c r="H191">
        <f t="shared" si="32"/>
        <v>1.3203928759433371E-20</v>
      </c>
      <c r="I191">
        <f t="shared" si="38"/>
        <v>4.0210361783541158E-4</v>
      </c>
      <c r="J191">
        <f t="shared" si="39"/>
        <v>1.3625281090352921E-2</v>
      </c>
      <c r="K191">
        <f t="shared" si="33"/>
        <v>2.5886493506493496E-2</v>
      </c>
      <c r="L191">
        <f t="shared" si="40"/>
        <v>1.2261212416140576E-2</v>
      </c>
      <c r="M191">
        <f t="shared" si="41"/>
        <v>272.47138702534613</v>
      </c>
      <c r="O191">
        <v>1.9E-3</v>
      </c>
      <c r="P191">
        <f t="shared" si="34"/>
        <v>-2.6467532467532961E-4</v>
      </c>
      <c r="Q191">
        <f t="shared" si="35"/>
        <v>1.3053906254715005E-20</v>
      </c>
      <c r="R191">
        <f t="shared" si="42"/>
        <v>3.9753493278696437E-4</v>
      </c>
      <c r="S191">
        <f t="shared" si="36"/>
        <v>1.3317420248363307E-2</v>
      </c>
      <c r="T191">
        <f t="shared" si="43"/>
        <v>-1.3582095573038636E-2</v>
      </c>
      <c r="U191">
        <f t="shared" si="44"/>
        <v>-1.4575269544063584E-2</v>
      </c>
    </row>
    <row r="192" spans="2:21" x14ac:dyDescent="0.25">
      <c r="B192">
        <v>373</v>
      </c>
      <c r="C192">
        <v>-2.9999999999999997E-4</v>
      </c>
      <c r="D192">
        <v>2.2000000000000001E-3</v>
      </c>
      <c r="E192">
        <f t="shared" si="30"/>
        <v>1.0557214031591547E-20</v>
      </c>
      <c r="F192">
        <f t="shared" si="31"/>
        <v>1.5695541125541113E-2</v>
      </c>
      <c r="G192">
        <f t="shared" si="37"/>
        <v>4.3535840246147544E-4</v>
      </c>
      <c r="H192">
        <f t="shared" si="32"/>
        <v>9.9226449977942847E-21</v>
      </c>
      <c r="I192">
        <f t="shared" si="38"/>
        <v>4.0919004403104111E-4</v>
      </c>
      <c r="J192">
        <f t="shared" si="39"/>
        <v>1.3865404641991827E-2</v>
      </c>
      <c r="K192">
        <f t="shared" si="33"/>
        <v>2.6461558441558432E-2</v>
      </c>
      <c r="L192">
        <f t="shared" si="40"/>
        <v>1.2596153799566604E-2</v>
      </c>
      <c r="M192">
        <f t="shared" si="41"/>
        <v>279.91452887925789</v>
      </c>
      <c r="O192">
        <v>1.6999999999999999E-3</v>
      </c>
      <c r="P192">
        <f t="shared" si="34"/>
        <v>-3.9506493506493942E-4</v>
      </c>
      <c r="Q192">
        <f t="shared" si="35"/>
        <v>9.8099043065105083E-21</v>
      </c>
      <c r="R192">
        <f t="shared" si="42"/>
        <v>4.0454084329466961E-4</v>
      </c>
      <c r="S192">
        <f t="shared" si="36"/>
        <v>1.3552118250371432E-2</v>
      </c>
      <c r="T192">
        <f t="shared" si="43"/>
        <v>-1.3947183185436371E-2</v>
      </c>
      <c r="U192">
        <f t="shared" si="44"/>
        <v>-1.4967487839182378E-2</v>
      </c>
    </row>
    <row r="193" spans="2:21" x14ac:dyDescent="0.25">
      <c r="B193">
        <v>374</v>
      </c>
      <c r="C193">
        <v>1E-4</v>
      </c>
      <c r="D193">
        <v>2.5000000000000001E-3</v>
      </c>
      <c r="E193">
        <f t="shared" si="30"/>
        <v>7.9336604210602892E-21</v>
      </c>
      <c r="F193">
        <f t="shared" si="31"/>
        <v>1.6267359307359303E-2</v>
      </c>
      <c r="G193">
        <f t="shared" si="37"/>
        <v>4.5121933061575791E-4</v>
      </c>
      <c r="H193">
        <f t="shared" si="32"/>
        <v>7.4567869568297977E-21</v>
      </c>
      <c r="I193">
        <f t="shared" si="38"/>
        <v>4.240976095061288E-4</v>
      </c>
      <c r="J193">
        <f t="shared" si="39"/>
        <v>1.4370547498115173E-2</v>
      </c>
      <c r="K193">
        <f t="shared" si="33"/>
        <v>2.7036623376623378E-2</v>
      </c>
      <c r="L193">
        <f t="shared" si="40"/>
        <v>1.2666075878508204E-2</v>
      </c>
      <c r="M193">
        <f t="shared" si="41"/>
        <v>281.46835285573786</v>
      </c>
      <c r="O193">
        <v>1.8E-3</v>
      </c>
      <c r="P193">
        <f t="shared" si="34"/>
        <v>-2.2545454545454908E-4</v>
      </c>
      <c r="Q193">
        <f t="shared" si="35"/>
        <v>7.3720632449106765E-21</v>
      </c>
      <c r="R193">
        <f t="shared" si="42"/>
        <v>4.192790296135552E-4</v>
      </c>
      <c r="S193">
        <f t="shared" si="36"/>
        <v>1.4045847492054099E-2</v>
      </c>
      <c r="T193">
        <f t="shared" si="43"/>
        <v>-1.4271302037508649E-2</v>
      </c>
      <c r="U193">
        <f t="shared" si="44"/>
        <v>-1.5297270469553882E-2</v>
      </c>
    </row>
    <row r="194" spans="2:21" x14ac:dyDescent="0.25">
      <c r="B194">
        <v>375</v>
      </c>
      <c r="C194">
        <v>0</v>
      </c>
      <c r="D194">
        <v>2.2000000000000001E-3</v>
      </c>
      <c r="E194">
        <f t="shared" si="30"/>
        <v>5.9620812354799966E-21</v>
      </c>
      <c r="F194">
        <f t="shared" si="31"/>
        <v>1.633917748917748E-2</v>
      </c>
      <c r="G194">
        <f t="shared" si="37"/>
        <v>4.5321140267329078E-4</v>
      </c>
      <c r="H194">
        <f t="shared" si="32"/>
        <v>5.6037147083168673E-21</v>
      </c>
      <c r="I194">
        <f t="shared" si="38"/>
        <v>4.2596994284878673E-4</v>
      </c>
      <c r="J194">
        <f t="shared" si="39"/>
        <v>1.4433991513431138E-2</v>
      </c>
      <c r="K194">
        <f t="shared" si="33"/>
        <v>2.7011688311688313E-2</v>
      </c>
      <c r="L194">
        <f t="shared" si="40"/>
        <v>1.2577696798257175E-2</v>
      </c>
      <c r="M194">
        <f t="shared" si="41"/>
        <v>279.50437329460385</v>
      </c>
      <c r="O194">
        <v>2.3E-3</v>
      </c>
      <c r="P194">
        <f t="shared" si="34"/>
        <v>3.4415584415583775E-4</v>
      </c>
      <c r="Q194">
        <f t="shared" si="35"/>
        <v>5.5400455283640271E-21</v>
      </c>
      <c r="R194">
        <f t="shared" si="42"/>
        <v>4.2113008958047382E-4</v>
      </c>
      <c r="S194">
        <f t="shared" si="36"/>
        <v>1.4107858000945873E-2</v>
      </c>
      <c r="T194">
        <f t="shared" si="43"/>
        <v>-1.3763702156790035E-2</v>
      </c>
      <c r="U194">
        <f t="shared" si="44"/>
        <v>-1.4782511769698189E-2</v>
      </c>
    </row>
    <row r="195" spans="2:21" x14ac:dyDescent="0.25">
      <c r="B195">
        <v>376</v>
      </c>
      <c r="C195">
        <v>-5.0000000000000001E-4</v>
      </c>
      <c r="D195">
        <v>1.6000000000000001E-3</v>
      </c>
      <c r="E195">
        <f t="shared" si="30"/>
        <v>4.4804555239222225E-21</v>
      </c>
      <c r="F195">
        <f t="shared" si="31"/>
        <v>1.6010995670995669E-2</v>
      </c>
      <c r="G195">
        <f t="shared" si="37"/>
        <v>4.4410838985342474E-4</v>
      </c>
      <c r="H195">
        <f t="shared" si="32"/>
        <v>4.2111459954539143E-21</v>
      </c>
      <c r="I195">
        <f t="shared" si="38"/>
        <v>4.1741409048550148E-4</v>
      </c>
      <c r="J195">
        <f t="shared" si="39"/>
        <v>1.4144076456101216E-2</v>
      </c>
      <c r="K195">
        <f t="shared" si="33"/>
        <v>2.6686753246753247E-2</v>
      </c>
      <c r="L195">
        <f t="shared" si="40"/>
        <v>1.2542676790652031E-2</v>
      </c>
      <c r="M195">
        <f t="shared" si="41"/>
        <v>278.72615090337843</v>
      </c>
      <c r="O195">
        <v>2E-3</v>
      </c>
      <c r="P195">
        <f t="shared" si="34"/>
        <v>1.1376623376622812E-4</v>
      </c>
      <c r="Q195">
        <f t="shared" si="35"/>
        <v>4.1632991249138591E-21</v>
      </c>
      <c r="R195">
        <f t="shared" si="42"/>
        <v>4.1267144846581964E-4</v>
      </c>
      <c r="S195">
        <f t="shared" si="36"/>
        <v>1.3824493523604958E-2</v>
      </c>
      <c r="T195">
        <f t="shared" si="43"/>
        <v>-1.371072728983873E-2</v>
      </c>
      <c r="U195">
        <f t="shared" si="44"/>
        <v>-1.4726700237102569E-2</v>
      </c>
    </row>
    <row r="196" spans="2:21" x14ac:dyDescent="0.25">
      <c r="B196">
        <v>377</v>
      </c>
      <c r="C196">
        <v>-1E-4</v>
      </c>
      <c r="D196">
        <v>2E-3</v>
      </c>
      <c r="E196">
        <f t="shared" si="30"/>
        <v>3.3670258604299513E-21</v>
      </c>
      <c r="F196">
        <f t="shared" si="31"/>
        <v>1.6582813852813846E-2</v>
      </c>
      <c r="G196">
        <f t="shared" si="37"/>
        <v>4.5996931800770682E-4</v>
      </c>
      <c r="H196">
        <f t="shared" si="32"/>
        <v>3.164641941658407E-21</v>
      </c>
      <c r="I196">
        <f t="shared" si="38"/>
        <v>4.3232165596058874E-4</v>
      </c>
      <c r="J196">
        <f t="shared" si="39"/>
        <v>1.4649219312224548E-2</v>
      </c>
      <c r="K196">
        <f t="shared" si="33"/>
        <v>2.7361818181818182E-2</v>
      </c>
      <c r="L196">
        <f t="shared" si="40"/>
        <v>1.2712598869593634E-2</v>
      </c>
      <c r="M196">
        <f t="shared" si="41"/>
        <v>282.50219710208074</v>
      </c>
      <c r="O196">
        <v>1.6000000000000001E-3</v>
      </c>
      <c r="P196">
        <f t="shared" si="34"/>
        <v>-2.1662337662338156E-4</v>
      </c>
      <c r="Q196">
        <f t="shared" si="35"/>
        <v>3.1286854078665088E-21</v>
      </c>
      <c r="R196">
        <f t="shared" si="42"/>
        <v>4.2740963478470485E-4</v>
      </c>
      <c r="S196">
        <f t="shared" si="36"/>
        <v>1.4318222765287613E-2</v>
      </c>
      <c r="T196">
        <f t="shared" si="43"/>
        <v>-1.4534846141910994E-2</v>
      </c>
      <c r="U196">
        <f t="shared" si="44"/>
        <v>-1.5564582996052841E-2</v>
      </c>
    </row>
    <row r="197" spans="2:21" x14ac:dyDescent="0.25">
      <c r="B197">
        <v>378</v>
      </c>
      <c r="C197">
        <v>4.0000000000000002E-4</v>
      </c>
      <c r="D197">
        <v>2.5999999999999999E-3</v>
      </c>
      <c r="E197">
        <f t="shared" si="30"/>
        <v>2.5302925303629847E-21</v>
      </c>
      <c r="F197">
        <f t="shared" si="31"/>
        <v>1.7254632034632036E-2</v>
      </c>
      <c r="G197">
        <f t="shared" si="37"/>
        <v>4.7860401738133908E-4</v>
      </c>
      <c r="H197">
        <f t="shared" si="32"/>
        <v>2.3782026625804319E-21</v>
      </c>
      <c r="I197">
        <f t="shared" si="38"/>
        <v>4.4983626786216225E-4</v>
      </c>
      <c r="J197">
        <f t="shared" si="39"/>
        <v>1.5242701936509367E-2</v>
      </c>
      <c r="K197">
        <f t="shared" si="33"/>
        <v>2.8236883116883112E-2</v>
      </c>
      <c r="L197">
        <f t="shared" si="40"/>
        <v>1.2994181180373744E-2</v>
      </c>
      <c r="M197">
        <f t="shared" si="41"/>
        <v>288.75958178608317</v>
      </c>
      <c r="O197">
        <v>1.9E-3</v>
      </c>
      <c r="P197">
        <f t="shared" si="34"/>
        <v>1.5298701298700865E-4</v>
      </c>
      <c r="Q197">
        <f t="shared" si="35"/>
        <v>2.3511816200809935E-21</v>
      </c>
      <c r="R197">
        <f t="shared" si="42"/>
        <v>4.4472524637398359E-4</v>
      </c>
      <c r="S197">
        <f t="shared" si="36"/>
        <v>1.489829575352845E-2</v>
      </c>
      <c r="T197">
        <f t="shared" si="43"/>
        <v>-1.4745308740541441E-2</v>
      </c>
      <c r="U197">
        <f t="shared" si="44"/>
        <v>-1.5797854123911582E-2</v>
      </c>
    </row>
    <row r="198" spans="2:21" x14ac:dyDescent="0.25">
      <c r="B198">
        <v>379</v>
      </c>
      <c r="C198">
        <v>0</v>
      </c>
      <c r="D198">
        <v>2E-3</v>
      </c>
      <c r="E198">
        <f t="shared" si="30"/>
        <v>1.9014942428726134E-21</v>
      </c>
      <c r="F198">
        <f t="shared" si="31"/>
        <v>1.702645021645021E-2</v>
      </c>
      <c r="G198">
        <f t="shared" si="37"/>
        <v>4.7227477578082246E-4</v>
      </c>
      <c r="H198">
        <f t="shared" si="32"/>
        <v>1.7871999450720769E-21</v>
      </c>
      <c r="I198">
        <f t="shared" si="38"/>
        <v>4.4388746192536256E-4</v>
      </c>
      <c r="J198">
        <f t="shared" si="39"/>
        <v>1.504112664734091E-2</v>
      </c>
      <c r="K198">
        <f t="shared" si="33"/>
        <v>2.7911948051948049E-2</v>
      </c>
      <c r="L198">
        <f t="shared" si="40"/>
        <v>1.2870821404607139E-2</v>
      </c>
      <c r="M198">
        <f t="shared" si="41"/>
        <v>286.0182534357142</v>
      </c>
      <c r="O198">
        <v>1.9E-3</v>
      </c>
      <c r="P198">
        <f t="shared" si="34"/>
        <v>2.2259740259739894E-4</v>
      </c>
      <c r="Q198">
        <f t="shared" si="35"/>
        <v>1.7668938515542147E-21</v>
      </c>
      <c r="R198">
        <f t="shared" si="42"/>
        <v>4.3884403052972239E-4</v>
      </c>
      <c r="S198">
        <f t="shared" si="36"/>
        <v>1.4701275022745699E-2</v>
      </c>
      <c r="T198">
        <f t="shared" si="43"/>
        <v>-1.44786776201483E-2</v>
      </c>
      <c r="U198">
        <f t="shared" si="44"/>
        <v>-1.552123070306685E-2</v>
      </c>
    </row>
    <row r="199" spans="2:21" x14ac:dyDescent="0.25">
      <c r="B199">
        <v>380</v>
      </c>
      <c r="C199">
        <v>-2.0000000000000001E-4</v>
      </c>
      <c r="D199">
        <v>2.0999999999999999E-3</v>
      </c>
      <c r="E199">
        <f t="shared" si="30"/>
        <v>1.4289574475244485E-21</v>
      </c>
      <c r="F199">
        <f t="shared" si="31"/>
        <v>1.6998268398268401E-2</v>
      </c>
      <c r="G199">
        <f t="shared" si="37"/>
        <v>4.7149307661900592E-4</v>
      </c>
      <c r="H199">
        <f t="shared" si="32"/>
        <v>1.3430662129525667E-21</v>
      </c>
      <c r="I199">
        <f t="shared" si="38"/>
        <v>4.4315274884153488E-4</v>
      </c>
      <c r="J199">
        <f t="shared" si="39"/>
        <v>1.5016230894495409E-2</v>
      </c>
      <c r="K199">
        <f t="shared" si="33"/>
        <v>2.8287012987012982E-2</v>
      </c>
      <c r="L199">
        <f t="shared" si="40"/>
        <v>1.3270782092517574E-2</v>
      </c>
      <c r="M199">
        <f t="shared" si="41"/>
        <v>294.90626872261271</v>
      </c>
      <c r="O199">
        <v>1.6999999999999999E-3</v>
      </c>
      <c r="P199">
        <f t="shared" si="34"/>
        <v>9.2207792207785666E-5</v>
      </c>
      <c r="Q199">
        <f t="shared" si="35"/>
        <v>1.327806348942334E-21</v>
      </c>
      <c r="R199">
        <f t="shared" si="42"/>
        <v>4.3811766522624818E-4</v>
      </c>
      <c r="S199">
        <f t="shared" si="36"/>
        <v>1.4676941785079315E-2</v>
      </c>
      <c r="T199">
        <f t="shared" si="43"/>
        <v>-1.4584733992871529E-2</v>
      </c>
      <c r="U199">
        <f t="shared" si="44"/>
        <v>-1.5659684405775403E-2</v>
      </c>
    </row>
    <row r="200" spans="2:21" x14ac:dyDescent="0.25">
      <c r="B200">
        <v>381</v>
      </c>
      <c r="C200">
        <v>-2.9999999999999997E-4</v>
      </c>
      <c r="D200">
        <v>2.2000000000000001E-3</v>
      </c>
      <c r="E200">
        <f t="shared" si="30"/>
        <v>1.073849891730848E-21</v>
      </c>
      <c r="F200">
        <f t="shared" si="31"/>
        <v>1.7070086580086574E-2</v>
      </c>
      <c r="G200">
        <f t="shared" si="37"/>
        <v>4.7348514867653874E-4</v>
      </c>
      <c r="H200">
        <f t="shared" si="32"/>
        <v>1.009303328006762E-21</v>
      </c>
      <c r="I200">
        <f t="shared" si="38"/>
        <v>4.4502508218419271E-4</v>
      </c>
      <c r="J200">
        <f t="shared" si="39"/>
        <v>1.507967490981137E-2</v>
      </c>
      <c r="K200">
        <f t="shared" si="33"/>
        <v>2.8662077922077915E-2</v>
      </c>
      <c r="L200">
        <f t="shared" si="40"/>
        <v>1.3582403012266545E-2</v>
      </c>
      <c r="M200">
        <f t="shared" si="41"/>
        <v>301.83117805036767</v>
      </c>
      <c r="O200">
        <v>2E-3</v>
      </c>
      <c r="P200">
        <f t="shared" si="34"/>
        <v>4.6181818181817609E-4</v>
      </c>
      <c r="Q200">
        <f t="shared" si="35"/>
        <v>9.9783566440096001E-22</v>
      </c>
      <c r="R200">
        <f t="shared" si="42"/>
        <v>4.399687251931668E-4</v>
      </c>
      <c r="S200">
        <f t="shared" si="36"/>
        <v>1.4738952293971088E-2</v>
      </c>
      <c r="T200">
        <f t="shared" si="43"/>
        <v>-1.4277134112152912E-2</v>
      </c>
      <c r="U200">
        <f t="shared" si="44"/>
        <v>-1.5377326220234838E-2</v>
      </c>
    </row>
    <row r="201" spans="2:21" x14ac:dyDescent="0.25">
      <c r="B201">
        <v>382</v>
      </c>
      <c r="C201">
        <v>-2.0000000000000001E-4</v>
      </c>
      <c r="D201">
        <v>2.3999999999999998E-3</v>
      </c>
      <c r="E201">
        <f t="shared" ref="E201:E264" si="45">(1.1500276+0.0284*$C$4)*EXP((-0.3101349+0.001222*$C$4)*($B201-210))*$C$5/35</f>
        <v>8.0698945372243668E-22</v>
      </c>
      <c r="F201">
        <f t="shared" ref="F201:F264" si="46">C201-($F$5*B201+$F$4)</f>
        <v>1.7341904761904753E-2</v>
      </c>
      <c r="G201">
        <f t="shared" si="37"/>
        <v>4.8102476317277138E-4</v>
      </c>
      <c r="H201">
        <f t="shared" ref="H201:H264" si="47">(1.1500276+0.0284*$D$4)*EXP((-0.3101349+0.001222*$D$4)*($B201-210))*$D$5/35</f>
        <v>7.5848323641919353E-22</v>
      </c>
      <c r="I201">
        <f t="shared" si="38"/>
        <v>4.5211150837982239E-4</v>
      </c>
      <c r="J201">
        <f t="shared" si="39"/>
        <v>1.5319798461450282E-2</v>
      </c>
      <c r="K201">
        <f t="shared" ref="K201:K264" si="48">D201-($K$5*B201+$K$4)</f>
        <v>2.9137142857142848E-2</v>
      </c>
      <c r="L201">
        <f t="shared" si="40"/>
        <v>1.3817344395692566E-2</v>
      </c>
      <c r="M201">
        <f t="shared" si="41"/>
        <v>307.05209768205702</v>
      </c>
      <c r="O201">
        <v>2E-3</v>
      </c>
      <c r="P201">
        <f t="shared" ref="P201:P264" si="49">O201-($O$5*B201+$O$4)</f>
        <v>5.3142857142856638E-4</v>
      </c>
      <c r="Q201">
        <f t="shared" ref="Q201:Q264" si="50">(1.1500276+0.0284*$O$2)*EXP((-0.3101349+0.001222*$O$2)*($B201-210))*$O$3/35</f>
        <v>7.4986538055313519E-22</v>
      </c>
      <c r="R201">
        <f t="shared" si="42"/>
        <v>4.4697463570087214E-4</v>
      </c>
      <c r="S201">
        <f t="shared" ref="S201:S264" si="51">R201*$O$3</f>
        <v>1.4973650295979217E-2</v>
      </c>
      <c r="T201">
        <f t="shared" si="43"/>
        <v>-1.444222172455065E-2</v>
      </c>
      <c r="U201">
        <f t="shared" si="44"/>
        <v>-1.5561444386774851E-2</v>
      </c>
    </row>
    <row r="202" spans="2:21" x14ac:dyDescent="0.25">
      <c r="B202">
        <v>383</v>
      </c>
      <c r="C202">
        <v>-1E-4</v>
      </c>
      <c r="D202">
        <v>2.5000000000000001E-3</v>
      </c>
      <c r="E202">
        <f t="shared" si="45"/>
        <v>6.0644600649869816E-22</v>
      </c>
      <c r="F202">
        <f t="shared" si="46"/>
        <v>1.7613722943722942E-2</v>
      </c>
      <c r="G202">
        <f t="shared" ref="G202:G265" si="52">F202/$C$5</f>
        <v>4.8856437766900429E-4</v>
      </c>
      <c r="H202">
        <f t="shared" si="47"/>
        <v>5.6999397898059424E-22</v>
      </c>
      <c r="I202">
        <f t="shared" ref="I202:I265" si="53">$G202/$E202*H202</f>
        <v>4.5919793457545229E-4</v>
      </c>
      <c r="J202">
        <f t="shared" ref="J202:J265" si="54">I202*$D$5</f>
        <v>1.55599220130892E-2</v>
      </c>
      <c r="K202">
        <f t="shared" si="48"/>
        <v>2.9512207792207781E-2</v>
      </c>
      <c r="L202">
        <f t="shared" ref="L202:L265" si="55">K202-J202</f>
        <v>1.395228577911858E-2</v>
      </c>
      <c r="M202">
        <f t="shared" ref="M202:M265" si="56">L202/($D$6/1000000)</f>
        <v>310.05079509152398</v>
      </c>
      <c r="O202">
        <v>1.5E-3</v>
      </c>
      <c r="P202">
        <f t="shared" si="49"/>
        <v>1.0103896103895666E-4</v>
      </c>
      <c r="Q202">
        <f t="shared" si="50"/>
        <v>5.6351773043676876E-22</v>
      </c>
      <c r="R202">
        <f t="shared" ref="R202:R265" si="57">$G202/$E202*Q202</f>
        <v>4.5398054620857765E-4</v>
      </c>
      <c r="S202">
        <f t="shared" si="51"/>
        <v>1.5208348297987352E-2</v>
      </c>
      <c r="T202">
        <f t="shared" ref="T202:T265" si="58">P202-S202</f>
        <v>-1.5107309336948396E-2</v>
      </c>
      <c r="U202">
        <f t="shared" ref="U202:U265" si="59">T202-$T$5/1000000*M202</f>
        <v>-1.6237462424736091E-2</v>
      </c>
    </row>
    <row r="203" spans="2:21" x14ac:dyDescent="0.25">
      <c r="B203">
        <v>384</v>
      </c>
      <c r="C203">
        <v>0</v>
      </c>
      <c r="D203">
        <v>2.3999999999999998E-3</v>
      </c>
      <c r="E203">
        <f t="shared" si="45"/>
        <v>4.5573923810498536E-22</v>
      </c>
      <c r="F203">
        <f t="shared" si="46"/>
        <v>1.7885541125541117E-2</v>
      </c>
      <c r="G203">
        <f t="shared" si="52"/>
        <v>4.9610399216523681E-4</v>
      </c>
      <c r="H203">
        <f t="shared" si="47"/>
        <v>4.2834583610305746E-22</v>
      </c>
      <c r="I203">
        <f t="shared" si="53"/>
        <v>4.6628436077108198E-4</v>
      </c>
      <c r="J203">
        <f t="shared" si="54"/>
        <v>1.580004556472811E-2</v>
      </c>
      <c r="K203">
        <f t="shared" si="48"/>
        <v>2.9687272727272729E-2</v>
      </c>
      <c r="L203">
        <f t="shared" si="55"/>
        <v>1.3887227162544619E-2</v>
      </c>
      <c r="M203">
        <f t="shared" si="56"/>
        <v>308.60504805654705</v>
      </c>
      <c r="O203">
        <v>2E-3</v>
      </c>
      <c r="P203">
        <f t="shared" si="49"/>
        <v>6.7064935064934349E-4</v>
      </c>
      <c r="Q203">
        <f t="shared" si="50"/>
        <v>4.2347898803164906E-22</v>
      </c>
      <c r="R203">
        <f t="shared" si="57"/>
        <v>4.6098645671628305E-4</v>
      </c>
      <c r="S203">
        <f t="shared" si="51"/>
        <v>1.5443046299995482E-2</v>
      </c>
      <c r="T203">
        <f t="shared" si="58"/>
        <v>-1.4772396949346138E-2</v>
      </c>
      <c r="U203">
        <f t="shared" si="59"/>
        <v>-1.5897280205539766E-2</v>
      </c>
    </row>
    <row r="204" spans="2:21" x14ac:dyDescent="0.25">
      <c r="B204">
        <v>385</v>
      </c>
      <c r="C204">
        <v>0</v>
      </c>
      <c r="D204">
        <v>1.9E-3</v>
      </c>
      <c r="E204">
        <f t="shared" si="45"/>
        <v>3.4248432823830779E-22</v>
      </c>
      <c r="F204">
        <f t="shared" si="46"/>
        <v>1.8057359307359307E-2</v>
      </c>
      <c r="G204">
        <f t="shared" si="52"/>
        <v>5.0086983544211992E-4</v>
      </c>
      <c r="H204">
        <f t="shared" si="47"/>
        <v>3.218984095849068E-22</v>
      </c>
      <c r="I204">
        <f t="shared" si="53"/>
        <v>4.7076374054022622E-4</v>
      </c>
      <c r="J204">
        <f t="shared" si="54"/>
        <v>1.5951829348205566E-2</v>
      </c>
      <c r="K204">
        <f t="shared" si="48"/>
        <v>2.9462337662337662E-2</v>
      </c>
      <c r="L204">
        <f t="shared" si="55"/>
        <v>1.3510508314132096E-2</v>
      </c>
      <c r="M204">
        <f t="shared" si="56"/>
        <v>300.23351809182435</v>
      </c>
      <c r="O204">
        <v>1.5E-3</v>
      </c>
      <c r="P204">
        <f t="shared" si="49"/>
        <v>2.4025974025973377E-4</v>
      </c>
      <c r="Q204">
        <f t="shared" si="50"/>
        <v>3.1824101286983555E-22</v>
      </c>
      <c r="R204">
        <f t="shared" si="57"/>
        <v>4.6541494195359535E-4</v>
      </c>
      <c r="S204">
        <f t="shared" si="51"/>
        <v>1.5591400555445445E-2</v>
      </c>
      <c r="T204">
        <f t="shared" si="58"/>
        <v>-1.5351140815185712E-2</v>
      </c>
      <c r="U204">
        <f t="shared" si="59"/>
        <v>-1.644550936027742E-2</v>
      </c>
    </row>
    <row r="205" spans="2:21" x14ac:dyDescent="0.25">
      <c r="B205">
        <v>386</v>
      </c>
      <c r="C205">
        <v>1E-4</v>
      </c>
      <c r="D205">
        <v>2.0999999999999999E-3</v>
      </c>
      <c r="E205">
        <f t="shared" si="45"/>
        <v>2.5737418523929089E-22</v>
      </c>
      <c r="F205">
        <f t="shared" si="46"/>
        <v>1.8329177489177482E-2</v>
      </c>
      <c r="G205">
        <f t="shared" si="52"/>
        <v>5.0840944993835245E-4</v>
      </c>
      <c r="H205">
        <f t="shared" si="47"/>
        <v>2.4190403491715773E-22</v>
      </c>
      <c r="I205">
        <f t="shared" si="53"/>
        <v>4.7785016673585569E-4</v>
      </c>
      <c r="J205">
        <f t="shared" si="54"/>
        <v>1.6191952899844469E-2</v>
      </c>
      <c r="K205">
        <f t="shared" si="48"/>
        <v>2.9937402597402598E-2</v>
      </c>
      <c r="L205">
        <f t="shared" si="55"/>
        <v>1.3745449697558129E-2</v>
      </c>
      <c r="M205">
        <f t="shared" si="56"/>
        <v>305.45443772351399</v>
      </c>
      <c r="O205">
        <v>1.8E-3</v>
      </c>
      <c r="P205">
        <f t="shared" si="49"/>
        <v>6.0987012987012397E-4</v>
      </c>
      <c r="Q205">
        <f t="shared" si="50"/>
        <v>2.3915553105281938E-22</v>
      </c>
      <c r="R205">
        <f t="shared" si="57"/>
        <v>4.7242085246130048E-4</v>
      </c>
      <c r="S205">
        <f t="shared" si="51"/>
        <v>1.5826098557453566E-2</v>
      </c>
      <c r="T205">
        <f t="shared" si="58"/>
        <v>-1.5216228427583443E-2</v>
      </c>
      <c r="U205">
        <f t="shared" si="59"/>
        <v>-1.6329627526817426E-2</v>
      </c>
    </row>
    <row r="206" spans="2:21" x14ac:dyDescent="0.25">
      <c r="B206">
        <v>387</v>
      </c>
      <c r="C206">
        <v>-2.9999999999999997E-4</v>
      </c>
      <c r="D206">
        <v>2.0999999999999999E-3</v>
      </c>
      <c r="E206">
        <f t="shared" si="45"/>
        <v>1.9341460547501648E-22</v>
      </c>
      <c r="F206">
        <f t="shared" si="46"/>
        <v>1.810099567099567E-2</v>
      </c>
      <c r="G206">
        <f t="shared" si="52"/>
        <v>5.0208020833783615E-4</v>
      </c>
      <c r="H206">
        <f t="shared" si="47"/>
        <v>1.8178891341731201E-22</v>
      </c>
      <c r="I206">
        <f t="shared" si="53"/>
        <v>4.7190136079905621E-4</v>
      </c>
      <c r="J206">
        <f t="shared" si="54"/>
        <v>1.599037761067602E-2</v>
      </c>
      <c r="K206">
        <f t="shared" si="48"/>
        <v>3.0212467532467532E-2</v>
      </c>
      <c r="L206">
        <f t="shared" si="55"/>
        <v>1.4222089921791511E-2</v>
      </c>
      <c r="M206">
        <f t="shared" si="56"/>
        <v>316.04644270647799</v>
      </c>
      <c r="O206">
        <v>1.8E-3</v>
      </c>
      <c r="P206">
        <f t="shared" si="49"/>
        <v>6.7948051948051426E-4</v>
      </c>
      <c r="Q206">
        <f t="shared" si="50"/>
        <v>1.7972343513294829E-22</v>
      </c>
      <c r="R206">
        <f t="shared" si="57"/>
        <v>4.6653963661703949E-4</v>
      </c>
      <c r="S206">
        <f t="shared" si="51"/>
        <v>1.5629077826670824E-2</v>
      </c>
      <c r="T206">
        <f t="shared" si="58"/>
        <v>-1.494959730719031E-2</v>
      </c>
      <c r="U206">
        <f t="shared" si="59"/>
        <v>-1.6101604877445393E-2</v>
      </c>
    </row>
    <row r="207" spans="2:21" x14ac:dyDescent="0.25">
      <c r="B207">
        <v>388</v>
      </c>
      <c r="C207">
        <v>-2.9999999999999997E-4</v>
      </c>
      <c r="D207">
        <v>1.9E-3</v>
      </c>
      <c r="E207">
        <f t="shared" si="45"/>
        <v>1.4534950184019216E-22</v>
      </c>
      <c r="F207">
        <f t="shared" si="46"/>
        <v>1.8272813852813846E-2</v>
      </c>
      <c r="G207">
        <f t="shared" si="52"/>
        <v>5.0684605161471893E-4</v>
      </c>
      <c r="H207">
        <f t="shared" si="47"/>
        <v>1.3661288887870051E-22</v>
      </c>
      <c r="I207">
        <f t="shared" si="53"/>
        <v>4.7638074056820007E-4</v>
      </c>
      <c r="J207">
        <f t="shared" si="54"/>
        <v>1.6142161394153458E-2</v>
      </c>
      <c r="K207">
        <f t="shared" si="48"/>
        <v>3.0287532467532463E-2</v>
      </c>
      <c r="L207">
        <f t="shared" si="55"/>
        <v>1.4145371073379005E-2</v>
      </c>
      <c r="M207">
        <f t="shared" si="56"/>
        <v>314.34157940842232</v>
      </c>
      <c r="O207">
        <v>1.2999999999999999E-3</v>
      </c>
      <c r="P207">
        <f t="shared" si="49"/>
        <v>2.4909090909090454E-4</v>
      </c>
      <c r="Q207">
        <f t="shared" si="50"/>
        <v>1.3506069875863856E-22</v>
      </c>
      <c r="R207">
        <f t="shared" si="57"/>
        <v>4.7096812185435158E-4</v>
      </c>
      <c r="S207">
        <f t="shared" si="51"/>
        <v>1.5777432082120776E-2</v>
      </c>
      <c r="T207">
        <f t="shared" si="58"/>
        <v>-1.5528341173029873E-2</v>
      </c>
      <c r="U207">
        <f t="shared" si="59"/>
        <v>-1.667413441791938E-2</v>
      </c>
    </row>
    <row r="208" spans="2:21" x14ac:dyDescent="0.25">
      <c r="B208">
        <v>389</v>
      </c>
      <c r="C208">
        <v>1E-4</v>
      </c>
      <c r="D208">
        <v>2.2000000000000001E-3</v>
      </c>
      <c r="E208">
        <f t="shared" si="45"/>
        <v>1.0922896765374371E-22</v>
      </c>
      <c r="F208">
        <f t="shared" si="46"/>
        <v>1.8844632034632023E-2</v>
      </c>
      <c r="G208">
        <f t="shared" si="52"/>
        <v>5.2270697976900102E-4</v>
      </c>
      <c r="H208">
        <f t="shared" si="47"/>
        <v>1.0266347411924734E-22</v>
      </c>
      <c r="I208">
        <f t="shared" si="53"/>
        <v>4.9128830604328738E-4</v>
      </c>
      <c r="J208">
        <f t="shared" si="54"/>
        <v>1.6647304250276791E-2</v>
      </c>
      <c r="K208">
        <f t="shared" si="48"/>
        <v>3.0862597402597398E-2</v>
      </c>
      <c r="L208">
        <f t="shared" si="55"/>
        <v>1.4215293152320608E-2</v>
      </c>
      <c r="M208">
        <f t="shared" si="56"/>
        <v>315.89540338490235</v>
      </c>
      <c r="O208">
        <v>1.6999999999999999E-3</v>
      </c>
      <c r="P208">
        <f t="shared" si="49"/>
        <v>7.1870129870129132E-4</v>
      </c>
      <c r="Q208">
        <f t="shared" si="50"/>
        <v>1.0149701587707793E-22</v>
      </c>
      <c r="R208">
        <f t="shared" si="57"/>
        <v>4.8570630817323669E-4</v>
      </c>
      <c r="S208">
        <f t="shared" si="51"/>
        <v>1.6271161323803428E-2</v>
      </c>
      <c r="T208">
        <f t="shared" si="58"/>
        <v>-1.5552460025102136E-2</v>
      </c>
      <c r="U208">
        <f t="shared" si="59"/>
        <v>-1.6703917048290873E-2</v>
      </c>
    </row>
    <row r="209" spans="2:21" x14ac:dyDescent="0.25">
      <c r="B209">
        <v>390</v>
      </c>
      <c r="C209">
        <v>0</v>
      </c>
      <c r="D209">
        <v>1.6999999999999999E-3</v>
      </c>
      <c r="E209">
        <f t="shared" si="45"/>
        <v>8.2084680192576646E-23</v>
      </c>
      <c r="F209">
        <f t="shared" si="46"/>
        <v>1.8916450216450213E-2</v>
      </c>
      <c r="G209">
        <f t="shared" si="52"/>
        <v>5.2469905182653427E-4</v>
      </c>
      <c r="H209">
        <f t="shared" si="47"/>
        <v>7.7150765237031486E-23</v>
      </c>
      <c r="I209">
        <f t="shared" si="53"/>
        <v>4.9316063938594564E-4</v>
      </c>
      <c r="J209">
        <f t="shared" si="54"/>
        <v>1.6710748265592767E-2</v>
      </c>
      <c r="K209">
        <f t="shared" si="48"/>
        <v>3.0637662337662332E-2</v>
      </c>
      <c r="L209">
        <f t="shared" si="55"/>
        <v>1.3926914072069564E-2</v>
      </c>
      <c r="M209">
        <f t="shared" si="56"/>
        <v>309.48697937932366</v>
      </c>
      <c r="O209">
        <v>1.6000000000000001E-3</v>
      </c>
      <c r="P209">
        <f t="shared" si="49"/>
        <v>6.8831168831168178E-4</v>
      </c>
      <c r="Q209">
        <f t="shared" si="50"/>
        <v>7.6274181361680848E-23</v>
      </c>
      <c r="R209">
        <f t="shared" si="57"/>
        <v>4.875573681401559E-4</v>
      </c>
      <c r="S209">
        <f t="shared" si="51"/>
        <v>1.6333171832695222E-2</v>
      </c>
      <c r="T209">
        <f t="shared" si="58"/>
        <v>-1.564486014438354E-2</v>
      </c>
      <c r="U209">
        <f t="shared" si="59"/>
        <v>-1.6772958091277632E-2</v>
      </c>
    </row>
    <row r="210" spans="2:21" x14ac:dyDescent="0.25">
      <c r="B210">
        <v>391</v>
      </c>
      <c r="C210">
        <v>-1E-4</v>
      </c>
      <c r="D210">
        <v>2E-3</v>
      </c>
      <c r="E210">
        <f t="shared" si="45"/>
        <v>6.1685969089049588E-23</v>
      </c>
      <c r="F210">
        <f t="shared" si="46"/>
        <v>1.898826839826839E-2</v>
      </c>
      <c r="G210">
        <f t="shared" si="52"/>
        <v>5.2669112388406721E-4</v>
      </c>
      <c r="H210">
        <f t="shared" si="47"/>
        <v>5.797817215639757E-23</v>
      </c>
      <c r="I210">
        <f t="shared" si="53"/>
        <v>4.9503297272860357E-4</v>
      </c>
      <c r="J210">
        <f t="shared" si="54"/>
        <v>1.6774192280908731E-2</v>
      </c>
      <c r="K210">
        <f t="shared" si="48"/>
        <v>3.1212727272727267E-2</v>
      </c>
      <c r="L210">
        <f t="shared" si="55"/>
        <v>1.4438534991818536E-2</v>
      </c>
      <c r="M210">
        <f t="shared" si="56"/>
        <v>320.85633315152302</v>
      </c>
      <c r="O210">
        <v>1.9E-3</v>
      </c>
      <c r="P210">
        <f t="shared" si="49"/>
        <v>1.057922077922072E-3</v>
      </c>
      <c r="Q210">
        <f t="shared" si="50"/>
        <v>5.7319426508464477E-23</v>
      </c>
      <c r="R210">
        <f t="shared" si="57"/>
        <v>4.8940842810707463E-4</v>
      </c>
      <c r="S210">
        <f t="shared" si="51"/>
        <v>1.6395182341586999E-2</v>
      </c>
      <c r="T210">
        <f t="shared" si="58"/>
        <v>-1.5337260263664927E-2</v>
      </c>
      <c r="U210">
        <f t="shared" si="59"/>
        <v>-1.6506800162894634E-2</v>
      </c>
    </row>
    <row r="211" spans="2:21" x14ac:dyDescent="0.25">
      <c r="B211">
        <v>392</v>
      </c>
      <c r="C211">
        <v>-2.9999999999999997E-4</v>
      </c>
      <c r="D211">
        <v>1.8E-3</v>
      </c>
      <c r="E211">
        <f t="shared" si="45"/>
        <v>4.6356503716990497E-23</v>
      </c>
      <c r="F211">
        <f t="shared" si="46"/>
        <v>1.8960086580086577E-2</v>
      </c>
      <c r="G211">
        <f t="shared" si="52"/>
        <v>5.2590942472225061E-4</v>
      </c>
      <c r="H211">
        <f t="shared" si="47"/>
        <v>4.3570124499340476E-23</v>
      </c>
      <c r="I211">
        <f t="shared" si="53"/>
        <v>4.9429825964477584E-4</v>
      </c>
      <c r="J211">
        <f t="shared" si="54"/>
        <v>1.6749296528063229E-2</v>
      </c>
      <c r="K211">
        <f t="shared" si="48"/>
        <v>3.1287792207792202E-2</v>
      </c>
      <c r="L211">
        <f t="shared" si="55"/>
        <v>1.4538495679728973E-2</v>
      </c>
      <c r="M211">
        <f t="shared" si="56"/>
        <v>323.07768177175495</v>
      </c>
      <c r="O211">
        <v>1.6999999999999999E-3</v>
      </c>
      <c r="P211">
        <f t="shared" si="49"/>
        <v>9.2753246753246219E-4</v>
      </c>
      <c r="Q211">
        <f t="shared" si="50"/>
        <v>4.307508250635697E-23</v>
      </c>
      <c r="R211">
        <f t="shared" si="57"/>
        <v>4.8868206280360015E-4</v>
      </c>
      <c r="S211">
        <f t="shared" si="51"/>
        <v>1.6370849103920605E-2</v>
      </c>
      <c r="T211">
        <f t="shared" si="58"/>
        <v>-1.5443316636388142E-2</v>
      </c>
      <c r="U211">
        <f t="shared" si="59"/>
        <v>-1.6620953479866828E-2</v>
      </c>
    </row>
    <row r="212" spans="2:21" x14ac:dyDescent="0.25">
      <c r="B212">
        <v>393</v>
      </c>
      <c r="C212">
        <v>-2.0000000000000001E-4</v>
      </c>
      <c r="D212">
        <v>1.9E-3</v>
      </c>
      <c r="E212">
        <f t="shared" si="45"/>
        <v>3.4836535254251643E-23</v>
      </c>
      <c r="F212">
        <f t="shared" si="46"/>
        <v>1.9231904761904756E-2</v>
      </c>
      <c r="G212">
        <f t="shared" si="52"/>
        <v>5.3344903921848314E-4</v>
      </c>
      <c r="H212">
        <f t="shared" si="47"/>
        <v>3.2742593950136387E-23</v>
      </c>
      <c r="I212">
        <f t="shared" si="53"/>
        <v>5.0138468584040564E-4</v>
      </c>
      <c r="J212">
        <f t="shared" si="54"/>
        <v>1.6989420079702142E-2</v>
      </c>
      <c r="K212">
        <f t="shared" si="48"/>
        <v>3.1662857142857131E-2</v>
      </c>
      <c r="L212">
        <f t="shared" si="55"/>
        <v>1.4673437063154989E-2</v>
      </c>
      <c r="M212">
        <f t="shared" si="56"/>
        <v>326.07637918122197</v>
      </c>
      <c r="O212">
        <v>1.8E-3</v>
      </c>
      <c r="P212">
        <f t="shared" si="49"/>
        <v>1.0971428571428525E-3</v>
      </c>
      <c r="Q212">
        <f t="shared" si="50"/>
        <v>3.2370573921486467E-23</v>
      </c>
      <c r="R212">
        <f t="shared" si="57"/>
        <v>4.9568797331130555E-4</v>
      </c>
      <c r="S212">
        <f t="shared" si="51"/>
        <v>1.6605547105928736E-2</v>
      </c>
      <c r="T212">
        <f t="shared" si="58"/>
        <v>-1.5508404248785884E-2</v>
      </c>
      <c r="U212">
        <f t="shared" si="59"/>
        <v>-1.6696971517828063E-2</v>
      </c>
    </row>
    <row r="213" spans="2:21" x14ac:dyDescent="0.25">
      <c r="B213">
        <v>394</v>
      </c>
      <c r="C213">
        <v>-1E-4</v>
      </c>
      <c r="D213">
        <v>2E-3</v>
      </c>
      <c r="E213">
        <f t="shared" si="45"/>
        <v>2.6179372713907363E-23</v>
      </c>
      <c r="F213">
        <f t="shared" si="46"/>
        <v>1.9503722943722945E-2</v>
      </c>
      <c r="G213">
        <f t="shared" si="52"/>
        <v>5.409886537147161E-4</v>
      </c>
      <c r="H213">
        <f t="shared" si="47"/>
        <v>2.4605792866158633E-23</v>
      </c>
      <c r="I213">
        <f t="shared" si="53"/>
        <v>5.0847111203603565E-4</v>
      </c>
      <c r="J213">
        <f t="shared" si="54"/>
        <v>1.7229543631341066E-2</v>
      </c>
      <c r="K213">
        <f t="shared" si="48"/>
        <v>3.2037922077922068E-2</v>
      </c>
      <c r="L213">
        <f t="shared" si="55"/>
        <v>1.4808378446581002E-2</v>
      </c>
      <c r="M213">
        <f t="shared" si="56"/>
        <v>329.07507659068892</v>
      </c>
      <c r="O213">
        <v>2.0999999999999999E-3</v>
      </c>
      <c r="P213">
        <f t="shared" si="49"/>
        <v>1.4667532467532393E-3</v>
      </c>
      <c r="Q213">
        <f t="shared" si="50"/>
        <v>2.432622284244693E-23</v>
      </c>
      <c r="R213">
        <f t="shared" si="57"/>
        <v>5.0269388381901116E-4</v>
      </c>
      <c r="S213">
        <f t="shared" si="51"/>
        <v>1.6840245107936875E-2</v>
      </c>
      <c r="T213">
        <f t="shared" si="58"/>
        <v>-1.5373491861183636E-2</v>
      </c>
      <c r="U213">
        <f t="shared" si="59"/>
        <v>-1.657298955578931E-2</v>
      </c>
    </row>
    <row r="214" spans="2:21" x14ac:dyDescent="0.25">
      <c r="B214">
        <v>395</v>
      </c>
      <c r="C214">
        <v>-2.9999999999999997E-4</v>
      </c>
      <c r="D214">
        <v>1.6000000000000001E-3</v>
      </c>
      <c r="E214">
        <f t="shared" si="45"/>
        <v>1.9673585524267303E-23</v>
      </c>
      <c r="F214">
        <f t="shared" si="46"/>
        <v>1.9475541125541118E-2</v>
      </c>
      <c r="G214">
        <f t="shared" si="52"/>
        <v>5.4020695455289907E-4</v>
      </c>
      <c r="H214">
        <f t="shared" si="47"/>
        <v>1.8491053075829286E-23</v>
      </c>
      <c r="I214">
        <f t="shared" si="53"/>
        <v>5.0773639895220738E-4</v>
      </c>
      <c r="J214">
        <f t="shared" si="54"/>
        <v>1.7204647878495547E-2</v>
      </c>
      <c r="K214">
        <f t="shared" si="48"/>
        <v>3.1912987012987011E-2</v>
      </c>
      <c r="L214">
        <f t="shared" si="55"/>
        <v>1.4708339134491464E-2</v>
      </c>
      <c r="M214">
        <f t="shared" si="56"/>
        <v>326.85198076647697</v>
      </c>
      <c r="O214">
        <v>1.6000000000000001E-3</v>
      </c>
      <c r="P214">
        <f t="shared" si="49"/>
        <v>1.0363636363636298E-3</v>
      </c>
      <c r="Q214">
        <f t="shared" si="50"/>
        <v>1.8280958478391064E-23</v>
      </c>
      <c r="R214">
        <f t="shared" si="57"/>
        <v>5.0196751851553636E-4</v>
      </c>
      <c r="S214">
        <f t="shared" si="51"/>
        <v>1.681591187027047E-2</v>
      </c>
      <c r="T214">
        <f t="shared" si="58"/>
        <v>-1.5779548233906839E-2</v>
      </c>
      <c r="U214">
        <f t="shared" si="59"/>
        <v>-1.6970942615603932E-2</v>
      </c>
    </row>
    <row r="215" spans="2:21" x14ac:dyDescent="0.25">
      <c r="B215">
        <v>396</v>
      </c>
      <c r="C215">
        <v>-5.9999999999999995E-4</v>
      </c>
      <c r="D215">
        <v>1.8E-3</v>
      </c>
      <c r="E215">
        <f t="shared" si="45"/>
        <v>1.4784539400940218E-23</v>
      </c>
      <c r="F215">
        <f t="shared" si="46"/>
        <v>1.9347359307359296E-2</v>
      </c>
      <c r="G215">
        <f t="shared" si="52"/>
        <v>5.3665148417173241E-4</v>
      </c>
      <c r="H215">
        <f t="shared" si="47"/>
        <v>1.3895875890404393E-23</v>
      </c>
      <c r="I215">
        <f t="shared" si="53"/>
        <v>5.0439463944189356E-4</v>
      </c>
      <c r="J215">
        <f t="shared" si="54"/>
        <v>1.7091412357488563E-2</v>
      </c>
      <c r="K215">
        <f t="shared" si="48"/>
        <v>3.238805194805195E-2</v>
      </c>
      <c r="L215">
        <f t="shared" si="55"/>
        <v>1.5296639590563387E-2</v>
      </c>
      <c r="M215">
        <f t="shared" si="56"/>
        <v>339.92532423474194</v>
      </c>
      <c r="O215">
        <v>1.5E-3</v>
      </c>
      <c r="P215">
        <f t="shared" si="49"/>
        <v>1.00597402597402E-3</v>
      </c>
      <c r="Q215">
        <f t="shared" si="50"/>
        <v>1.3737991510359959E-23</v>
      </c>
      <c r="R215">
        <f t="shared" si="57"/>
        <v>4.9866372794166852E-4</v>
      </c>
      <c r="S215">
        <f t="shared" si="51"/>
        <v>1.6705234886045896E-2</v>
      </c>
      <c r="T215">
        <f t="shared" si="58"/>
        <v>-1.5699260860071874E-2</v>
      </c>
      <c r="U215">
        <f t="shared" si="59"/>
        <v>-1.6938308335140352E-2</v>
      </c>
    </row>
    <row r="216" spans="2:21" x14ac:dyDescent="0.25">
      <c r="B216">
        <v>397</v>
      </c>
      <c r="C216">
        <v>-4.0000000000000002E-4</v>
      </c>
      <c r="D216">
        <v>1.9E-3</v>
      </c>
      <c r="E216">
        <f t="shared" si="45"/>
        <v>1.1110461030518878E-23</v>
      </c>
      <c r="F216">
        <f t="shared" si="46"/>
        <v>1.9719177489177484E-2</v>
      </c>
      <c r="G216">
        <f t="shared" si="52"/>
        <v>5.4696486988731511E-4</v>
      </c>
      <c r="H216">
        <f t="shared" si="47"/>
        <v>1.0442637635058586E-23</v>
      </c>
      <c r="I216">
        <f t="shared" si="53"/>
        <v>5.1408811206400944E-4</v>
      </c>
      <c r="J216">
        <f t="shared" si="54"/>
        <v>1.7419875677288959E-2</v>
      </c>
      <c r="K216">
        <f t="shared" si="48"/>
        <v>3.276311688311688E-2</v>
      </c>
      <c r="L216">
        <f t="shared" si="55"/>
        <v>1.5343241205827921E-2</v>
      </c>
      <c r="M216">
        <f t="shared" si="56"/>
        <v>340.96091568506489</v>
      </c>
      <c r="O216">
        <v>1.1999999999999999E-3</v>
      </c>
      <c r="P216">
        <f t="shared" si="49"/>
        <v>7.7558441558441015E-4</v>
      </c>
      <c r="Q216">
        <f t="shared" si="50"/>
        <v>1.0323988808453967E-23</v>
      </c>
      <c r="R216">
        <f t="shared" si="57"/>
        <v>5.0824706371976739E-4</v>
      </c>
      <c r="S216">
        <f t="shared" si="51"/>
        <v>1.7026276634612206E-2</v>
      </c>
      <c r="T216">
        <f t="shared" si="58"/>
        <v>-1.6250692219027797E-2</v>
      </c>
      <c r="U216">
        <f t="shared" si="59"/>
        <v>-1.7493514484852493E-2</v>
      </c>
    </row>
    <row r="217" spans="2:21" x14ac:dyDescent="0.25">
      <c r="B217">
        <v>398</v>
      </c>
      <c r="C217">
        <v>-1E-4</v>
      </c>
      <c r="D217">
        <v>2.2000000000000001E-3</v>
      </c>
      <c r="E217">
        <f t="shared" si="45"/>
        <v>8.3494210379545763E-24</v>
      </c>
      <c r="F217">
        <f t="shared" si="46"/>
        <v>2.0190995670995662E-2</v>
      </c>
      <c r="G217">
        <f t="shared" si="52"/>
        <v>5.6005202682224734E-4</v>
      </c>
      <c r="H217">
        <f t="shared" si="47"/>
        <v>7.8475571915868959E-24</v>
      </c>
      <c r="I217">
        <f t="shared" si="53"/>
        <v>5.2638863111261088E-4</v>
      </c>
      <c r="J217">
        <f t="shared" si="54"/>
        <v>1.7836678765250819E-2</v>
      </c>
      <c r="K217">
        <f t="shared" si="48"/>
        <v>3.3338181818181815E-2</v>
      </c>
      <c r="L217">
        <f t="shared" si="55"/>
        <v>1.5501503052930996E-2</v>
      </c>
      <c r="M217">
        <f t="shared" si="56"/>
        <v>344.47784562068881</v>
      </c>
      <c r="O217">
        <v>1.9E-3</v>
      </c>
      <c r="P217">
        <f t="shared" si="49"/>
        <v>1.5451948051948005E-3</v>
      </c>
      <c r="Q217">
        <f t="shared" si="50"/>
        <v>7.7583935640596447E-24</v>
      </c>
      <c r="R217">
        <f t="shared" si="57"/>
        <v>5.204078247682593E-4</v>
      </c>
      <c r="S217">
        <f t="shared" si="51"/>
        <v>1.7433662129736686E-2</v>
      </c>
      <c r="T217">
        <f t="shared" si="58"/>
        <v>-1.5888467324541886E-2</v>
      </c>
      <c r="U217">
        <f t="shared" si="59"/>
        <v>-1.7144109003473084E-2</v>
      </c>
    </row>
    <row r="218" spans="2:21" x14ac:dyDescent="0.25">
      <c r="B218">
        <v>399</v>
      </c>
      <c r="C218">
        <v>-2.0000000000000001E-4</v>
      </c>
      <c r="D218">
        <v>2.0999999999999999E-3</v>
      </c>
      <c r="E218">
        <f t="shared" si="45"/>
        <v>6.2745219552588868E-24</v>
      </c>
      <c r="F218">
        <f t="shared" si="46"/>
        <v>2.0262813852813852E-2</v>
      </c>
      <c r="G218">
        <f t="shared" si="52"/>
        <v>5.620440988797806E-4</v>
      </c>
      <c r="H218">
        <f t="shared" si="47"/>
        <v>5.8973753593128639E-24</v>
      </c>
      <c r="I218">
        <f t="shared" si="53"/>
        <v>5.2826096445526924E-4</v>
      </c>
      <c r="J218">
        <f t="shared" si="54"/>
        <v>1.7900122780566796E-2</v>
      </c>
      <c r="K218">
        <f t="shared" si="48"/>
        <v>3.3513246753246746E-2</v>
      </c>
      <c r="L218">
        <f t="shared" si="55"/>
        <v>1.561312397267995E-2</v>
      </c>
      <c r="M218">
        <f t="shared" si="56"/>
        <v>346.95831050399886</v>
      </c>
      <c r="O218">
        <v>1.6000000000000001E-3</v>
      </c>
      <c r="P218">
        <f t="shared" si="49"/>
        <v>1.3148051948051874E-3</v>
      </c>
      <c r="Q218">
        <f t="shared" si="50"/>
        <v>5.830369618916363E-24</v>
      </c>
      <c r="R218">
        <f t="shared" si="57"/>
        <v>5.222588847351784E-4</v>
      </c>
      <c r="S218">
        <f t="shared" si="51"/>
        <v>1.7495672638628477E-2</v>
      </c>
      <c r="T218">
        <f t="shared" si="58"/>
        <v>-1.6180867443823289E-2</v>
      </c>
      <c r="U218">
        <f t="shared" si="59"/>
        <v>-1.7445550560774972E-2</v>
      </c>
    </row>
    <row r="219" spans="2:21" x14ac:dyDescent="0.25">
      <c r="B219">
        <v>400</v>
      </c>
      <c r="C219">
        <v>-4.0000000000000002E-4</v>
      </c>
      <c r="D219">
        <v>1.8E-3</v>
      </c>
      <c r="E219">
        <f t="shared" si="45"/>
        <v>4.7152521819249646E-24</v>
      </c>
      <c r="F219">
        <f t="shared" si="46"/>
        <v>2.0234632034632025E-2</v>
      </c>
      <c r="G219">
        <f t="shared" si="52"/>
        <v>5.6126239971796368E-4</v>
      </c>
      <c r="H219">
        <f t="shared" si="47"/>
        <v>4.4318295846146518E-24</v>
      </c>
      <c r="I219">
        <f t="shared" si="53"/>
        <v>5.2752625137144119E-4</v>
      </c>
      <c r="J219">
        <f t="shared" si="54"/>
        <v>1.7875227027721284E-2</v>
      </c>
      <c r="K219">
        <f t="shared" si="48"/>
        <v>3.3488311688311685E-2</v>
      </c>
      <c r="L219">
        <f t="shared" si="55"/>
        <v>1.5613084660590401E-2</v>
      </c>
      <c r="M219">
        <f t="shared" si="56"/>
        <v>346.95743690200891</v>
      </c>
      <c r="O219">
        <v>1.8E-3</v>
      </c>
      <c r="P219">
        <f t="shared" si="49"/>
        <v>1.5844155844155776E-3</v>
      </c>
      <c r="Q219">
        <f t="shared" si="50"/>
        <v>4.3814753160569819E-24</v>
      </c>
      <c r="R219">
        <f t="shared" si="57"/>
        <v>5.2153251943170371E-4</v>
      </c>
      <c r="S219">
        <f t="shared" si="51"/>
        <v>1.7471339400962075E-2</v>
      </c>
      <c r="T219">
        <f t="shared" si="58"/>
        <v>-1.5886923816546498E-2</v>
      </c>
      <c r="U219">
        <f t="shared" si="59"/>
        <v>-1.7151603749168381E-2</v>
      </c>
    </row>
    <row r="220" spans="2:21" x14ac:dyDescent="0.25">
      <c r="B220">
        <v>401</v>
      </c>
      <c r="C220">
        <v>-2.0000000000000001E-4</v>
      </c>
      <c r="D220">
        <v>2.2000000000000001E-3</v>
      </c>
      <c r="E220">
        <f t="shared" si="45"/>
        <v>3.5434736379420226E-24</v>
      </c>
      <c r="F220">
        <f t="shared" si="46"/>
        <v>2.0606450216450217E-2</v>
      </c>
      <c r="G220">
        <f t="shared" si="52"/>
        <v>5.7157578543354649E-4</v>
      </c>
      <c r="H220">
        <f t="shared" si="47"/>
        <v>3.3304838627999954E-24</v>
      </c>
      <c r="I220">
        <f t="shared" si="53"/>
        <v>5.3721972399355718E-4</v>
      </c>
      <c r="J220">
        <f t="shared" si="54"/>
        <v>1.8203690347521683E-2</v>
      </c>
      <c r="K220">
        <f t="shared" si="48"/>
        <v>3.4163376623376616E-2</v>
      </c>
      <c r="L220">
        <f t="shared" si="55"/>
        <v>1.5959686275854933E-2</v>
      </c>
      <c r="M220">
        <f t="shared" si="56"/>
        <v>354.65969501899849</v>
      </c>
      <c r="O220">
        <v>1.2999999999999999E-3</v>
      </c>
      <c r="P220">
        <f t="shared" si="49"/>
        <v>1.1540259740259679E-3</v>
      </c>
      <c r="Q220">
        <f t="shared" si="50"/>
        <v>3.2926430398052194E-24</v>
      </c>
      <c r="R220">
        <f t="shared" si="57"/>
        <v>5.311158552098028E-4</v>
      </c>
      <c r="S220">
        <f t="shared" si="51"/>
        <v>1.7792381149528393E-2</v>
      </c>
      <c r="T220">
        <f t="shared" si="58"/>
        <v>-1.6638355175502426E-2</v>
      </c>
      <c r="U220">
        <f t="shared" si="59"/>
        <v>-1.7931110284616872E-2</v>
      </c>
    </row>
    <row r="221" spans="2:21" x14ac:dyDescent="0.25">
      <c r="B221">
        <v>402</v>
      </c>
      <c r="C221">
        <v>-1E-4</v>
      </c>
      <c r="D221">
        <v>1.9E-3</v>
      </c>
      <c r="E221">
        <f t="shared" si="45"/>
        <v>2.662891599079651E-24</v>
      </c>
      <c r="F221">
        <f t="shared" si="46"/>
        <v>2.0878268398268392E-2</v>
      </c>
      <c r="G221">
        <f t="shared" si="52"/>
        <v>5.7911539992977902E-4</v>
      </c>
      <c r="H221">
        <f t="shared" si="47"/>
        <v>2.5028315165542543E-24</v>
      </c>
      <c r="I221">
        <f t="shared" si="53"/>
        <v>5.4430615018918676E-4</v>
      </c>
      <c r="J221">
        <f t="shared" si="54"/>
        <v>1.8443813899160593E-2</v>
      </c>
      <c r="K221">
        <f t="shared" si="48"/>
        <v>3.4138441558441548E-2</v>
      </c>
      <c r="L221">
        <f t="shared" si="55"/>
        <v>1.5694627659280955E-2</v>
      </c>
      <c r="M221">
        <f t="shared" si="56"/>
        <v>348.76950353957676</v>
      </c>
      <c r="O221">
        <v>1.4E-3</v>
      </c>
      <c r="P221">
        <f t="shared" si="49"/>
        <v>1.3236363636363582E-3</v>
      </c>
      <c r="Q221">
        <f t="shared" si="50"/>
        <v>2.4743944460548184E-24</v>
      </c>
      <c r="R221">
        <f t="shared" si="57"/>
        <v>5.3812176571750798E-4</v>
      </c>
      <c r="S221">
        <f t="shared" si="51"/>
        <v>1.8027079151536517E-2</v>
      </c>
      <c r="T221">
        <f t="shared" si="58"/>
        <v>-1.6703442787900161E-2</v>
      </c>
      <c r="U221">
        <f t="shared" si="59"/>
        <v>-1.7974727808262973E-2</v>
      </c>
    </row>
    <row r="222" spans="2:21" x14ac:dyDescent="0.25">
      <c r="B222">
        <v>403</v>
      </c>
      <c r="C222">
        <v>-4.0000000000000002E-4</v>
      </c>
      <c r="D222">
        <v>1.8E-3</v>
      </c>
      <c r="E222">
        <f t="shared" si="45"/>
        <v>2.0011413638079958E-24</v>
      </c>
      <c r="F222">
        <f t="shared" si="46"/>
        <v>2.075008658008658E-2</v>
      </c>
      <c r="G222">
        <f t="shared" si="52"/>
        <v>5.7555992954861257E-4</v>
      </c>
      <c r="H222">
        <f t="shared" si="47"/>
        <v>1.8808575144966698E-24</v>
      </c>
      <c r="I222">
        <f t="shared" si="53"/>
        <v>5.4096439067887326E-4</v>
      </c>
      <c r="J222">
        <f t="shared" si="54"/>
        <v>1.833057837815362E-2</v>
      </c>
      <c r="K222">
        <f t="shared" si="48"/>
        <v>3.4313506493506486E-2</v>
      </c>
      <c r="L222">
        <f t="shared" si="55"/>
        <v>1.5982928115352867E-2</v>
      </c>
      <c r="M222">
        <f t="shared" si="56"/>
        <v>355.17618034117481</v>
      </c>
      <c r="O222">
        <v>1.1999999999999999E-3</v>
      </c>
      <c r="P222">
        <f t="shared" si="49"/>
        <v>1.1932467532467484E-3</v>
      </c>
      <c r="Q222">
        <f t="shared" si="50"/>
        <v>1.8594872874616625E-24</v>
      </c>
      <c r="R222">
        <f t="shared" si="57"/>
        <v>5.3481797514364025E-4</v>
      </c>
      <c r="S222">
        <f t="shared" si="51"/>
        <v>1.7916402167311947E-2</v>
      </c>
      <c r="T222">
        <f t="shared" si="58"/>
        <v>-1.6723155414065199E-2</v>
      </c>
      <c r="U222">
        <f t="shared" si="59"/>
        <v>-1.801779314206305E-2</v>
      </c>
    </row>
    <row r="223" spans="2:21" x14ac:dyDescent="0.25">
      <c r="B223">
        <v>404</v>
      </c>
      <c r="C223">
        <v>-4.0000000000000002E-4</v>
      </c>
      <c r="D223">
        <v>1.9E-3</v>
      </c>
      <c r="E223">
        <f t="shared" si="45"/>
        <v>1.503841447893491E-24</v>
      </c>
      <c r="F223">
        <f t="shared" si="46"/>
        <v>2.0921904761904756E-2</v>
      </c>
      <c r="G223">
        <f t="shared" si="52"/>
        <v>5.8032577282549525E-4</v>
      </c>
      <c r="H223">
        <f t="shared" si="47"/>
        <v>1.413449114109368E-24</v>
      </c>
      <c r="I223">
        <f t="shared" si="53"/>
        <v>5.4544377044801686E-4</v>
      </c>
      <c r="J223">
        <f t="shared" si="54"/>
        <v>1.8482362161631051E-2</v>
      </c>
      <c r="K223">
        <f t="shared" si="48"/>
        <v>3.4688571428571416E-2</v>
      </c>
      <c r="L223">
        <f t="shared" si="55"/>
        <v>1.6206209266940365E-2</v>
      </c>
      <c r="M223">
        <f t="shared" si="56"/>
        <v>360.13798370978589</v>
      </c>
      <c r="O223">
        <v>1.6000000000000001E-3</v>
      </c>
      <c r="P223">
        <f t="shared" si="49"/>
        <v>1.6628571428571354E-3</v>
      </c>
      <c r="Q223">
        <f t="shared" si="50"/>
        <v>1.3973895624218335E-24</v>
      </c>
      <c r="R223">
        <f t="shared" si="57"/>
        <v>5.3924646038095217E-4</v>
      </c>
      <c r="S223">
        <f t="shared" si="51"/>
        <v>1.8064756422761896E-2</v>
      </c>
      <c r="T223">
        <f t="shared" si="58"/>
        <v>-1.640189927990476E-2</v>
      </c>
      <c r="U223">
        <f t="shared" si="59"/>
        <v>-1.7714623068273382E-2</v>
      </c>
    </row>
    <row r="224" spans="2:21" x14ac:dyDescent="0.25">
      <c r="B224">
        <v>405</v>
      </c>
      <c r="C224">
        <v>-1E-4</v>
      </c>
      <c r="D224">
        <v>1.8E-3</v>
      </c>
      <c r="E224">
        <f t="shared" si="45"/>
        <v>1.1301246085378318E-24</v>
      </c>
      <c r="F224">
        <f t="shared" si="46"/>
        <v>2.1393722943722934E-2</v>
      </c>
      <c r="G224">
        <f t="shared" si="52"/>
        <v>5.9341292976042759E-4</v>
      </c>
      <c r="H224">
        <f t="shared" si="47"/>
        <v>1.0621955053895604E-24</v>
      </c>
      <c r="I224">
        <f t="shared" si="53"/>
        <v>5.577442894966184E-4</v>
      </c>
      <c r="J224">
        <f t="shared" si="54"/>
        <v>1.8899165249592915E-2</v>
      </c>
      <c r="K224">
        <f t="shared" si="48"/>
        <v>3.4863636363636367E-2</v>
      </c>
      <c r="L224">
        <f t="shared" si="55"/>
        <v>1.5964471114043453E-2</v>
      </c>
      <c r="M224">
        <f t="shared" si="56"/>
        <v>354.76602475652118</v>
      </c>
      <c r="O224">
        <v>1.6999999999999999E-3</v>
      </c>
      <c r="P224">
        <f t="shared" si="49"/>
        <v>1.8324675324675255E-3</v>
      </c>
      <c r="Q224">
        <f t="shared" si="50"/>
        <v>1.0501268830028117E-24</v>
      </c>
      <c r="R224">
        <f t="shared" si="57"/>
        <v>5.5140722142944429E-4</v>
      </c>
      <c r="S224">
        <f t="shared" si="51"/>
        <v>1.8472141917886382E-2</v>
      </c>
      <c r="T224">
        <f t="shared" si="58"/>
        <v>-1.6639674385418857E-2</v>
      </c>
      <c r="U224">
        <f t="shared" si="59"/>
        <v>-1.793281707257886E-2</v>
      </c>
    </row>
    <row r="225" spans="2:21" x14ac:dyDescent="0.25">
      <c r="B225">
        <v>406</v>
      </c>
      <c r="C225">
        <v>-4.0000000000000002E-4</v>
      </c>
      <c r="D225">
        <v>1.8E-3</v>
      </c>
      <c r="E225">
        <f t="shared" si="45"/>
        <v>8.4927944539087673E-25</v>
      </c>
      <c r="F225">
        <f t="shared" si="46"/>
        <v>2.1265541125541122E-2</v>
      </c>
      <c r="G225">
        <f t="shared" si="52"/>
        <v>5.8985745937926114E-4</v>
      </c>
      <c r="H225">
        <f t="shared" si="47"/>
        <v>7.9823127724037091E-25</v>
      </c>
      <c r="I225">
        <f t="shared" si="53"/>
        <v>5.544025299863048E-4</v>
      </c>
      <c r="J225">
        <f t="shared" si="54"/>
        <v>1.8785929728585938E-2</v>
      </c>
      <c r="K225">
        <f t="shared" si="48"/>
        <v>3.5138701298701301E-2</v>
      </c>
      <c r="L225">
        <f t="shared" si="55"/>
        <v>1.6352771570115363E-2</v>
      </c>
      <c r="M225">
        <f t="shared" si="56"/>
        <v>363.3949237803414</v>
      </c>
      <c r="O225">
        <v>1.5E-3</v>
      </c>
      <c r="P225">
        <f t="shared" si="49"/>
        <v>1.7020779220779159E-3</v>
      </c>
      <c r="Q225">
        <f t="shared" si="50"/>
        <v>7.8916180574155024E-25</v>
      </c>
      <c r="R225">
        <f t="shared" si="57"/>
        <v>5.4810343085557667E-4</v>
      </c>
      <c r="S225">
        <f t="shared" si="51"/>
        <v>1.8361464933661819E-2</v>
      </c>
      <c r="T225">
        <f t="shared" si="58"/>
        <v>-1.6659387011583902E-2</v>
      </c>
      <c r="U225">
        <f t="shared" si="59"/>
        <v>-1.7983982534957723E-2</v>
      </c>
    </row>
    <row r="226" spans="2:21" x14ac:dyDescent="0.25">
      <c r="B226">
        <v>407</v>
      </c>
      <c r="C226">
        <v>-2.9999999999999997E-4</v>
      </c>
      <c r="D226">
        <v>1.6999999999999999E-3</v>
      </c>
      <c r="E226">
        <f t="shared" si="45"/>
        <v>6.3822659104523393E-25</v>
      </c>
      <c r="F226">
        <f t="shared" si="46"/>
        <v>2.1537359307359297E-2</v>
      </c>
      <c r="G226">
        <f t="shared" si="52"/>
        <v>5.9739707387549367E-4</v>
      </c>
      <c r="H226">
        <f t="shared" si="47"/>
        <v>5.998643081539928E-25</v>
      </c>
      <c r="I226">
        <f t="shared" si="53"/>
        <v>5.6148895618193437E-4</v>
      </c>
      <c r="J226">
        <f t="shared" si="54"/>
        <v>1.9026053280224844E-2</v>
      </c>
      <c r="K226">
        <f t="shared" si="48"/>
        <v>3.5313766233766232E-2</v>
      </c>
      <c r="L226">
        <f t="shared" si="55"/>
        <v>1.6287712953541388E-2</v>
      </c>
      <c r="M226">
        <f t="shared" si="56"/>
        <v>361.94917674536413</v>
      </c>
      <c r="O226">
        <v>1.2999999999999999E-3</v>
      </c>
      <c r="P226">
        <f t="shared" si="49"/>
        <v>1.5716883116883061E-3</v>
      </c>
      <c r="Q226">
        <f t="shared" si="50"/>
        <v>5.9304867413778258E-25</v>
      </c>
      <c r="R226">
        <f t="shared" si="57"/>
        <v>5.5510934136328185E-4</v>
      </c>
      <c r="S226">
        <f t="shared" si="51"/>
        <v>1.8596162935669944E-2</v>
      </c>
      <c r="T226">
        <f t="shared" si="58"/>
        <v>-1.7024474623981638E-2</v>
      </c>
      <c r="U226">
        <f t="shared" si="59"/>
        <v>-1.8343800315761393E-2</v>
      </c>
    </row>
    <row r="227" spans="2:21" x14ac:dyDescent="0.25">
      <c r="B227">
        <v>408</v>
      </c>
      <c r="C227">
        <v>-2.0000000000000001E-4</v>
      </c>
      <c r="D227">
        <v>2.2000000000000001E-3</v>
      </c>
      <c r="E227">
        <f t="shared" si="45"/>
        <v>4.7962208873399407E-25</v>
      </c>
      <c r="F227">
        <f t="shared" si="46"/>
        <v>2.1809177489177489E-2</v>
      </c>
      <c r="G227">
        <f t="shared" si="52"/>
        <v>6.0493668837172663E-4</v>
      </c>
      <c r="H227">
        <f t="shared" si="47"/>
        <v>4.5079314536645365E-25</v>
      </c>
      <c r="I227">
        <f t="shared" si="53"/>
        <v>5.6857538237756449E-4</v>
      </c>
      <c r="J227">
        <f t="shared" si="54"/>
        <v>1.9266176831863772E-2</v>
      </c>
      <c r="K227">
        <f t="shared" si="48"/>
        <v>3.6088831168831166E-2</v>
      </c>
      <c r="L227">
        <f t="shared" si="55"/>
        <v>1.6822654336967394E-2</v>
      </c>
      <c r="M227">
        <f t="shared" si="56"/>
        <v>373.83676304371983</v>
      </c>
      <c r="O227">
        <v>1.5E-3</v>
      </c>
      <c r="P227">
        <f t="shared" si="49"/>
        <v>1.8412987012986965E-3</v>
      </c>
      <c r="Q227">
        <f t="shared" si="50"/>
        <v>4.456712518747587E-25</v>
      </c>
      <c r="R227">
        <f t="shared" si="57"/>
        <v>5.6211525187098758E-4</v>
      </c>
      <c r="S227">
        <f t="shared" si="51"/>
        <v>1.8830860937678082E-2</v>
      </c>
      <c r="T227">
        <f t="shared" si="58"/>
        <v>-1.6989562236379385E-2</v>
      </c>
      <c r="U227">
        <f t="shared" si="59"/>
        <v>-1.835221886803776E-2</v>
      </c>
    </row>
    <row r="228" spans="2:21" x14ac:dyDescent="0.25">
      <c r="B228">
        <v>409</v>
      </c>
      <c r="C228">
        <v>-2.9999999999999997E-4</v>
      </c>
      <c r="D228">
        <v>2E-3</v>
      </c>
      <c r="E228">
        <f t="shared" si="45"/>
        <v>3.6043209610684671E-25</v>
      </c>
      <c r="F228">
        <f t="shared" si="46"/>
        <v>2.1880995670995662E-2</v>
      </c>
      <c r="G228">
        <f t="shared" si="52"/>
        <v>6.0692876042925945E-4</v>
      </c>
      <c r="H228">
        <f t="shared" si="47"/>
        <v>3.387673798008571E-25</v>
      </c>
      <c r="I228">
        <f t="shared" si="53"/>
        <v>5.7044771572022231E-4</v>
      </c>
      <c r="J228">
        <f t="shared" si="54"/>
        <v>1.9329620847179731E-2</v>
      </c>
      <c r="K228">
        <f t="shared" si="48"/>
        <v>3.6163896103896101E-2</v>
      </c>
      <c r="L228">
        <f t="shared" si="55"/>
        <v>1.683427525671637E-2</v>
      </c>
      <c r="M228">
        <f t="shared" si="56"/>
        <v>374.09500570480822</v>
      </c>
      <c r="O228">
        <v>1.6000000000000001E-3</v>
      </c>
      <c r="P228">
        <f t="shared" si="49"/>
        <v>2.0109090909090832E-3</v>
      </c>
      <c r="Q228">
        <f t="shared" si="50"/>
        <v>3.3491831852821935E-25</v>
      </c>
      <c r="R228">
        <f t="shared" si="57"/>
        <v>5.6396631183790614E-4</v>
      </c>
      <c r="S228">
        <f t="shared" si="51"/>
        <v>1.8892871446569856E-2</v>
      </c>
      <c r="T228">
        <f t="shared" si="58"/>
        <v>-1.6881962355660772E-2</v>
      </c>
      <c r="U228">
        <f t="shared" si="59"/>
        <v>-1.8245560296760849E-2</v>
      </c>
    </row>
    <row r="229" spans="2:21" x14ac:dyDescent="0.25">
      <c r="B229">
        <v>410</v>
      </c>
      <c r="C229">
        <v>-2.9999999999999997E-4</v>
      </c>
      <c r="D229">
        <v>2E-3</v>
      </c>
      <c r="E229">
        <f t="shared" si="45"/>
        <v>2.7086178671813656E-25</v>
      </c>
      <c r="F229">
        <f t="shared" si="46"/>
        <v>2.2052813852813852E-2</v>
      </c>
      <c r="G229">
        <f t="shared" si="52"/>
        <v>6.1169460370614256E-4</v>
      </c>
      <c r="H229">
        <f t="shared" si="47"/>
        <v>2.5458092874026564E-25</v>
      </c>
      <c r="I229">
        <f t="shared" si="53"/>
        <v>5.7492709548936645E-4</v>
      </c>
      <c r="J229">
        <f t="shared" si="54"/>
        <v>1.948140463065718E-2</v>
      </c>
      <c r="K229">
        <f t="shared" si="48"/>
        <v>3.6438961038961035E-2</v>
      </c>
      <c r="L229">
        <f t="shared" si="55"/>
        <v>1.6957556408303855E-2</v>
      </c>
      <c r="M229">
        <f t="shared" si="56"/>
        <v>376.83458685119672</v>
      </c>
      <c r="O229">
        <v>1.8E-3</v>
      </c>
      <c r="P229">
        <f t="shared" si="49"/>
        <v>2.2805194805194736E-3</v>
      </c>
      <c r="Q229">
        <f t="shared" si="50"/>
        <v>2.5168839052084692E-25</v>
      </c>
      <c r="R229">
        <f t="shared" si="57"/>
        <v>5.6839479707521839E-4</v>
      </c>
      <c r="S229">
        <f t="shared" si="51"/>
        <v>1.9041225702019816E-2</v>
      </c>
      <c r="T229">
        <f t="shared" si="58"/>
        <v>-1.6760706221500343E-2</v>
      </c>
      <c r="U229">
        <f t="shared" si="59"/>
        <v>-1.8134290094392411E-2</v>
      </c>
    </row>
    <row r="230" spans="2:21" x14ac:dyDescent="0.25">
      <c r="B230">
        <v>411</v>
      </c>
      <c r="C230">
        <v>-2.0000000000000001E-4</v>
      </c>
      <c r="D230">
        <v>1.9E-3</v>
      </c>
      <c r="E230">
        <f t="shared" si="45"/>
        <v>2.0355042821267814E-25</v>
      </c>
      <c r="F230">
        <f t="shared" si="46"/>
        <v>2.232463203463203E-2</v>
      </c>
      <c r="G230">
        <f t="shared" si="52"/>
        <v>6.192342182023752E-4</v>
      </c>
      <c r="H230">
        <f t="shared" si="47"/>
        <v>1.9131549594992229E-25</v>
      </c>
      <c r="I230">
        <f t="shared" si="53"/>
        <v>5.8201352168499624E-4</v>
      </c>
      <c r="J230">
        <f t="shared" si="54"/>
        <v>1.9721528182296097E-2</v>
      </c>
      <c r="K230">
        <f t="shared" si="48"/>
        <v>3.6614025974025965E-2</v>
      </c>
      <c r="L230">
        <f t="shared" si="55"/>
        <v>1.6892497791729869E-2</v>
      </c>
      <c r="M230">
        <f t="shared" si="56"/>
        <v>375.38883981621927</v>
      </c>
      <c r="O230">
        <v>1.4E-3</v>
      </c>
      <c r="P230">
        <f t="shared" si="49"/>
        <v>1.9501298701298639E-3</v>
      </c>
      <c r="Q230">
        <f t="shared" si="50"/>
        <v>1.8914177701999107E-25</v>
      </c>
      <c r="R230">
        <f t="shared" si="57"/>
        <v>5.7540070758292389E-4</v>
      </c>
      <c r="S230">
        <f t="shared" si="51"/>
        <v>1.9275923704027951E-2</v>
      </c>
      <c r="T230">
        <f t="shared" si="58"/>
        <v>-1.7325793833898089E-2</v>
      </c>
      <c r="U230">
        <f t="shared" si="59"/>
        <v>-1.8694107875196087E-2</v>
      </c>
    </row>
    <row r="231" spans="2:21" x14ac:dyDescent="0.25">
      <c r="B231">
        <v>412</v>
      </c>
      <c r="C231">
        <v>-4.0000000000000002E-4</v>
      </c>
      <c r="D231">
        <v>1.9E-3</v>
      </c>
      <c r="E231">
        <f t="shared" si="45"/>
        <v>1.529664901335086E-25</v>
      </c>
      <c r="F231">
        <f t="shared" si="46"/>
        <v>2.2296450216450204E-2</v>
      </c>
      <c r="G231">
        <f t="shared" si="52"/>
        <v>6.1845251904055817E-4</v>
      </c>
      <c r="H231">
        <f t="shared" si="47"/>
        <v>1.4377203811644121E-25</v>
      </c>
      <c r="I231">
        <f t="shared" si="53"/>
        <v>5.8127880860116808E-4</v>
      </c>
      <c r="J231">
        <f t="shared" si="54"/>
        <v>1.9696632429450578E-2</v>
      </c>
      <c r="K231">
        <f t="shared" si="48"/>
        <v>3.6889090909090899E-2</v>
      </c>
      <c r="L231">
        <f t="shared" si="55"/>
        <v>1.7192458479640321E-2</v>
      </c>
      <c r="M231">
        <f t="shared" si="56"/>
        <v>382.05463288089601</v>
      </c>
      <c r="O231">
        <v>1.2999999999999999E-3</v>
      </c>
      <c r="P231">
        <f t="shared" si="49"/>
        <v>1.9197402597402541E-3</v>
      </c>
      <c r="Q231">
        <f t="shared" si="50"/>
        <v>1.4213850603219067E-25</v>
      </c>
      <c r="R231">
        <f t="shared" si="57"/>
        <v>5.7467434227944899E-4</v>
      </c>
      <c r="S231">
        <f t="shared" si="51"/>
        <v>1.9251590466361542E-2</v>
      </c>
      <c r="T231">
        <f t="shared" si="58"/>
        <v>-1.7331850206621289E-2</v>
      </c>
      <c r="U231">
        <f t="shared" si="59"/>
        <v>-1.8724461449325831E-2</v>
      </c>
    </row>
    <row r="232" spans="2:21" x14ac:dyDescent="0.25">
      <c r="B232">
        <v>413</v>
      </c>
      <c r="C232">
        <v>-2.0000000000000001E-4</v>
      </c>
      <c r="D232">
        <v>1.9E-3</v>
      </c>
      <c r="E232">
        <f t="shared" si="45"/>
        <v>1.1495307236257335E-25</v>
      </c>
      <c r="F232">
        <f t="shared" si="46"/>
        <v>2.2668268398268396E-2</v>
      </c>
      <c r="G232">
        <f t="shared" si="52"/>
        <v>6.2876590475614098E-4</v>
      </c>
      <c r="H232">
        <f t="shared" si="47"/>
        <v>1.0804351650409956E-25</v>
      </c>
      <c r="I232">
        <f t="shared" si="53"/>
        <v>5.9097228122328396E-4</v>
      </c>
      <c r="J232">
        <f t="shared" si="54"/>
        <v>2.0025095749250977E-2</v>
      </c>
      <c r="K232">
        <f t="shared" si="48"/>
        <v>3.7164155844155833E-2</v>
      </c>
      <c r="L232">
        <f t="shared" si="55"/>
        <v>1.7139060094904856E-2</v>
      </c>
      <c r="M232">
        <f t="shared" si="56"/>
        <v>380.86800210899679</v>
      </c>
      <c r="O232">
        <v>1.5E-3</v>
      </c>
      <c r="P232">
        <f t="shared" si="49"/>
        <v>2.189350649350641E-3</v>
      </c>
      <c r="Q232">
        <f t="shared" si="50"/>
        <v>1.0681593043787326E-25</v>
      </c>
      <c r="R232">
        <f t="shared" si="57"/>
        <v>5.8425767805754807E-4</v>
      </c>
      <c r="S232">
        <f t="shared" si="51"/>
        <v>1.957263221492786E-2</v>
      </c>
      <c r="T232">
        <f t="shared" si="58"/>
        <v>-1.7383281565577217E-2</v>
      </c>
      <c r="U232">
        <f t="shared" si="59"/>
        <v>-1.8771567470459195E-2</v>
      </c>
    </row>
    <row r="233" spans="2:21" x14ac:dyDescent="0.25">
      <c r="B233">
        <v>414</v>
      </c>
      <c r="C233">
        <v>-1E-4</v>
      </c>
      <c r="D233">
        <v>2E-3</v>
      </c>
      <c r="E233">
        <f t="shared" si="45"/>
        <v>8.6386298293579228E-26</v>
      </c>
      <c r="F233">
        <f t="shared" si="46"/>
        <v>2.2940086580086571E-2</v>
      </c>
      <c r="G233">
        <f t="shared" si="52"/>
        <v>6.3630551925237351E-4</v>
      </c>
      <c r="H233">
        <f t="shared" si="47"/>
        <v>8.1193823301839897E-26</v>
      </c>
      <c r="I233">
        <f t="shared" si="53"/>
        <v>5.9805870741891365E-4</v>
      </c>
      <c r="J233">
        <f t="shared" si="54"/>
        <v>2.0265219300889887E-2</v>
      </c>
      <c r="K233">
        <f t="shared" si="48"/>
        <v>3.7539220779220769E-2</v>
      </c>
      <c r="L233">
        <f t="shared" si="55"/>
        <v>1.7274001478330882E-2</v>
      </c>
      <c r="M233">
        <f t="shared" si="56"/>
        <v>383.86669951846403</v>
      </c>
      <c r="O233">
        <v>1.4E-3</v>
      </c>
      <c r="P233">
        <f t="shared" si="49"/>
        <v>2.1589610389610315E-3</v>
      </c>
      <c r="Q233">
        <f t="shared" si="50"/>
        <v>8.0271302364221241E-26</v>
      </c>
      <c r="R233">
        <f t="shared" si="57"/>
        <v>5.9126358856525336E-4</v>
      </c>
      <c r="S233">
        <f t="shared" si="51"/>
        <v>1.9807330216935988E-2</v>
      </c>
      <c r="T233">
        <f t="shared" si="58"/>
        <v>-1.7648369177974958E-2</v>
      </c>
      <c r="U233">
        <f t="shared" si="59"/>
        <v>-1.904758550842043E-2</v>
      </c>
    </row>
    <row r="234" spans="2:21" x14ac:dyDescent="0.25">
      <c r="B234">
        <v>415</v>
      </c>
      <c r="C234">
        <v>-2.0000000000000001E-4</v>
      </c>
      <c r="D234">
        <v>1.9E-3</v>
      </c>
      <c r="E234">
        <f t="shared" si="45"/>
        <v>6.4918600081687619E-26</v>
      </c>
      <c r="F234">
        <f t="shared" si="46"/>
        <v>2.3011904761904761E-2</v>
      </c>
      <c r="G234">
        <f t="shared" si="52"/>
        <v>6.3829759130990687E-4</v>
      </c>
      <c r="H234">
        <f t="shared" si="47"/>
        <v>6.1016497386219479E-26</v>
      </c>
      <c r="I234">
        <f t="shared" si="53"/>
        <v>5.9993104076157201E-4</v>
      </c>
      <c r="J234">
        <f t="shared" si="54"/>
        <v>2.0328663316205867E-2</v>
      </c>
      <c r="K234">
        <f t="shared" si="48"/>
        <v>3.7714285714285714E-2</v>
      </c>
      <c r="L234">
        <f t="shared" si="55"/>
        <v>1.7385622398079847E-2</v>
      </c>
      <c r="M234">
        <f t="shared" si="56"/>
        <v>386.34716440177436</v>
      </c>
      <c r="O234">
        <v>1.2999999999999999E-3</v>
      </c>
      <c r="P234">
        <f t="shared" si="49"/>
        <v>2.1285714285714215E-3</v>
      </c>
      <c r="Q234">
        <f t="shared" si="50"/>
        <v>6.0323230409867276E-26</v>
      </c>
      <c r="R234">
        <f t="shared" si="57"/>
        <v>5.9311464853217246E-4</v>
      </c>
      <c r="S234">
        <f t="shared" si="51"/>
        <v>1.9869340725827779E-2</v>
      </c>
      <c r="T234">
        <f t="shared" si="58"/>
        <v>-1.7740769297256358E-2</v>
      </c>
      <c r="U234">
        <f t="shared" si="59"/>
        <v>-1.9149027065722315E-2</v>
      </c>
    </row>
    <row r="235" spans="2:21" x14ac:dyDescent="0.25">
      <c r="B235">
        <v>416</v>
      </c>
      <c r="C235">
        <v>-2.0000000000000001E-4</v>
      </c>
      <c r="D235">
        <v>2.0999999999999999E-3</v>
      </c>
      <c r="E235">
        <f t="shared" si="45"/>
        <v>4.8785799598029122E-26</v>
      </c>
      <c r="F235">
        <f t="shared" si="46"/>
        <v>2.3183722943722937E-2</v>
      </c>
      <c r="G235">
        <f t="shared" si="52"/>
        <v>6.4306343458678955E-4</v>
      </c>
      <c r="H235">
        <f t="shared" si="47"/>
        <v>4.5853401181050068E-26</v>
      </c>
      <c r="I235">
        <f t="shared" si="53"/>
        <v>6.0441042053071582E-4</v>
      </c>
      <c r="J235">
        <f t="shared" si="54"/>
        <v>2.0480447099683306E-2</v>
      </c>
      <c r="K235">
        <f t="shared" si="48"/>
        <v>3.8189350649350647E-2</v>
      </c>
      <c r="L235">
        <f t="shared" si="55"/>
        <v>1.7708903549667341E-2</v>
      </c>
      <c r="M235">
        <f t="shared" si="56"/>
        <v>393.53118999260755</v>
      </c>
      <c r="O235">
        <v>1.5E-3</v>
      </c>
      <c r="P235">
        <f t="shared" si="49"/>
        <v>2.3981818181818119E-3</v>
      </c>
      <c r="Q235">
        <f t="shared" si="50"/>
        <v>4.5332416690723837E-26</v>
      </c>
      <c r="R235">
        <f t="shared" si="57"/>
        <v>5.9754313376948439E-4</v>
      </c>
      <c r="S235">
        <f t="shared" si="51"/>
        <v>2.0017694981277728E-2</v>
      </c>
      <c r="T235">
        <f t="shared" si="58"/>
        <v>-1.7619513163095915E-2</v>
      </c>
      <c r="U235">
        <f t="shared" si="59"/>
        <v>-1.9053957120511427E-2</v>
      </c>
    </row>
    <row r="236" spans="2:21" x14ac:dyDescent="0.25">
      <c r="B236">
        <v>417</v>
      </c>
      <c r="C236">
        <v>1E-4</v>
      </c>
      <c r="D236">
        <v>1.8E-3</v>
      </c>
      <c r="E236">
        <f t="shared" si="45"/>
        <v>3.6662131337154529E-26</v>
      </c>
      <c r="F236">
        <f t="shared" si="46"/>
        <v>2.3655541125541125E-2</v>
      </c>
      <c r="G236">
        <f t="shared" si="52"/>
        <v>6.561505915217221E-4</v>
      </c>
      <c r="H236">
        <f t="shared" si="47"/>
        <v>3.4458457793173223E-26</v>
      </c>
      <c r="I236">
        <f t="shared" si="53"/>
        <v>6.1671093957931737E-4</v>
      </c>
      <c r="J236">
        <f t="shared" si="54"/>
        <v>2.0897250187645169E-2</v>
      </c>
      <c r="K236">
        <f t="shared" si="48"/>
        <v>3.8164415584415586E-2</v>
      </c>
      <c r="L236">
        <f t="shared" si="55"/>
        <v>1.7267165396770416E-2</v>
      </c>
      <c r="M236">
        <f t="shared" si="56"/>
        <v>383.7147865948981</v>
      </c>
      <c r="O236">
        <v>1.4E-3</v>
      </c>
      <c r="P236">
        <f t="shared" si="49"/>
        <v>2.3677922077922024E-3</v>
      </c>
      <c r="Q236">
        <f t="shared" si="50"/>
        <v>3.4066942188912586E-26</v>
      </c>
      <c r="R236">
        <f t="shared" si="57"/>
        <v>6.097038948179764E-4</v>
      </c>
      <c r="S236">
        <f t="shared" si="51"/>
        <v>2.0425080476402211E-2</v>
      </c>
      <c r="T236">
        <f t="shared" si="58"/>
        <v>-1.8057288268610007E-2</v>
      </c>
      <c r="U236">
        <f t="shared" si="59"/>
        <v>-1.9455950867659333E-2</v>
      </c>
    </row>
    <row r="237" spans="2:21" x14ac:dyDescent="0.25">
      <c r="B237">
        <v>418</v>
      </c>
      <c r="C237">
        <v>-5.0000000000000001E-4</v>
      </c>
      <c r="D237">
        <v>1.6999999999999999E-3</v>
      </c>
      <c r="E237">
        <f t="shared" si="45"/>
        <v>2.7551293311938834E-26</v>
      </c>
      <c r="F237">
        <f t="shared" si="46"/>
        <v>2.3227359307359301E-2</v>
      </c>
      <c r="G237">
        <f t="shared" si="52"/>
        <v>6.4427380748250588E-4</v>
      </c>
      <c r="H237">
        <f t="shared" si="47"/>
        <v>2.5895250579026052E-26</v>
      </c>
      <c r="I237">
        <f t="shared" si="53"/>
        <v>6.0554804078954592E-4</v>
      </c>
      <c r="J237">
        <f t="shared" si="54"/>
        <v>2.0518995362153764E-2</v>
      </c>
      <c r="K237">
        <f t="shared" si="48"/>
        <v>3.8339480519480516E-2</v>
      </c>
      <c r="L237">
        <f t="shared" si="55"/>
        <v>1.7820485157326753E-2</v>
      </c>
      <c r="M237">
        <f t="shared" si="56"/>
        <v>396.01078127392782</v>
      </c>
      <c r="O237">
        <v>8.9999999999999998E-4</v>
      </c>
      <c r="P237">
        <f t="shared" si="49"/>
        <v>1.9374025974025889E-3</v>
      </c>
      <c r="Q237">
        <f t="shared" si="50"/>
        <v>2.5601029788914642E-26</v>
      </c>
      <c r="R237">
        <f t="shared" si="57"/>
        <v>5.9866782843292859E-4</v>
      </c>
      <c r="S237">
        <f t="shared" si="51"/>
        <v>2.0055372252503107E-2</v>
      </c>
      <c r="T237">
        <f t="shared" si="58"/>
        <v>-1.8117969655100517E-2</v>
      </c>
      <c r="U237">
        <f t="shared" si="59"/>
        <v>-1.9561451866206711E-2</v>
      </c>
    </row>
    <row r="238" spans="2:21" x14ac:dyDescent="0.25">
      <c r="B238">
        <v>419</v>
      </c>
      <c r="C238">
        <v>-1E-4</v>
      </c>
      <c r="D238">
        <v>1.9E-3</v>
      </c>
      <c r="E238">
        <f t="shared" si="45"/>
        <v>2.0704572687819218E-26</v>
      </c>
      <c r="F238">
        <f t="shared" si="46"/>
        <v>2.3799177489177478E-2</v>
      </c>
      <c r="G238">
        <f t="shared" si="52"/>
        <v>6.6013473563678786E-4</v>
      </c>
      <c r="H238">
        <f t="shared" si="47"/>
        <v>1.9460070052334244E-26</v>
      </c>
      <c r="I238">
        <f t="shared" si="53"/>
        <v>6.2045560626463323E-4</v>
      </c>
      <c r="J238">
        <f t="shared" si="54"/>
        <v>2.1024138218277096E-2</v>
      </c>
      <c r="K238">
        <f t="shared" si="48"/>
        <v>3.8814545454545449E-2</v>
      </c>
      <c r="L238">
        <f t="shared" si="55"/>
        <v>1.7790407236268353E-2</v>
      </c>
      <c r="M238">
        <f t="shared" si="56"/>
        <v>395.34238302818562</v>
      </c>
      <c r="O238">
        <v>1.2999999999999999E-3</v>
      </c>
      <c r="P238">
        <f t="shared" si="49"/>
        <v>2.4070129870129792E-3</v>
      </c>
      <c r="Q238">
        <f t="shared" si="50"/>
        <v>1.9238965523187169E-26</v>
      </c>
      <c r="R238">
        <f t="shared" si="57"/>
        <v>6.1340601475181385E-4</v>
      </c>
      <c r="S238">
        <f t="shared" si="51"/>
        <v>2.0549101494185765E-2</v>
      </c>
      <c r="T238">
        <f t="shared" si="58"/>
        <v>-1.8142088507172787E-2</v>
      </c>
      <c r="U238">
        <f t="shared" si="59"/>
        <v>-1.9583134367999428E-2</v>
      </c>
    </row>
    <row r="239" spans="2:21" x14ac:dyDescent="0.25">
      <c r="B239">
        <v>420</v>
      </c>
      <c r="C239">
        <v>-2.9999999999999997E-4</v>
      </c>
      <c r="D239">
        <v>1.6000000000000001E-3</v>
      </c>
      <c r="E239">
        <f t="shared" si="45"/>
        <v>1.5559317863289795E-26</v>
      </c>
      <c r="F239">
        <f t="shared" si="46"/>
        <v>2.3770995670995665E-2</v>
      </c>
      <c r="G239">
        <f t="shared" si="52"/>
        <v>6.5935303647497126E-4</v>
      </c>
      <c r="H239">
        <f t="shared" si="47"/>
        <v>1.4624084261554827E-26</v>
      </c>
      <c r="I239">
        <f t="shared" si="53"/>
        <v>6.197208931808055E-4</v>
      </c>
      <c r="J239">
        <f t="shared" si="54"/>
        <v>2.0999242465431594E-2</v>
      </c>
      <c r="K239">
        <f t="shared" si="48"/>
        <v>3.8789610389610381E-2</v>
      </c>
      <c r="L239">
        <f t="shared" si="55"/>
        <v>1.7790367924178787E-2</v>
      </c>
      <c r="M239">
        <f t="shared" si="56"/>
        <v>395.34150942619522</v>
      </c>
      <c r="O239">
        <v>1.1999999999999999E-3</v>
      </c>
      <c r="P239">
        <f t="shared" si="49"/>
        <v>2.3766233766233692E-3</v>
      </c>
      <c r="Q239">
        <f t="shared" si="50"/>
        <v>1.4457926007439479E-26</v>
      </c>
      <c r="R239">
        <f t="shared" si="57"/>
        <v>6.126796494483396E-4</v>
      </c>
      <c r="S239">
        <f t="shared" si="51"/>
        <v>2.0524768256519377E-2</v>
      </c>
      <c r="T239">
        <f t="shared" si="58"/>
        <v>-1.8148144879896008E-2</v>
      </c>
      <c r="U239">
        <f t="shared" si="59"/>
        <v>-1.9589187556392846E-2</v>
      </c>
    </row>
    <row r="240" spans="2:21" x14ac:dyDescent="0.25">
      <c r="B240">
        <v>421</v>
      </c>
      <c r="C240">
        <v>-2.9999999999999997E-4</v>
      </c>
      <c r="D240">
        <v>1.9E-3</v>
      </c>
      <c r="E240">
        <f t="shared" si="45"/>
        <v>1.1692700739161684E-26</v>
      </c>
      <c r="F240">
        <f t="shared" si="46"/>
        <v>2.3942813852813841E-2</v>
      </c>
      <c r="G240">
        <f t="shared" si="52"/>
        <v>6.6411887975185405E-4</v>
      </c>
      <c r="H240">
        <f t="shared" si="47"/>
        <v>1.0989880299192656E-26</v>
      </c>
      <c r="I240">
        <f t="shared" si="53"/>
        <v>6.2420027294994931E-4</v>
      </c>
      <c r="J240">
        <f t="shared" si="54"/>
        <v>2.1151026248909032E-2</v>
      </c>
      <c r="K240">
        <f t="shared" si="48"/>
        <v>3.9364675324675316E-2</v>
      </c>
      <c r="L240">
        <f t="shared" si="55"/>
        <v>1.8213649075766284E-2</v>
      </c>
      <c r="M240">
        <f t="shared" si="56"/>
        <v>404.74775723925075</v>
      </c>
      <c r="O240">
        <v>1.1999999999999999E-3</v>
      </c>
      <c r="P240">
        <f t="shared" si="49"/>
        <v>2.4462337662337595E-3</v>
      </c>
      <c r="Q240">
        <f t="shared" si="50"/>
        <v>1.0865013723563643E-26</v>
      </c>
      <c r="R240">
        <f t="shared" si="57"/>
        <v>6.1710813468565163E-4</v>
      </c>
      <c r="S240">
        <f t="shared" si="51"/>
        <v>2.067312251196933E-2</v>
      </c>
      <c r="T240">
        <f t="shared" si="58"/>
        <v>-1.8226888745735571E-2</v>
      </c>
      <c r="U240">
        <f t="shared" si="59"/>
        <v>-1.9702217739760747E-2</v>
      </c>
    </row>
    <row r="241" spans="2:21" x14ac:dyDescent="0.25">
      <c r="B241">
        <v>422</v>
      </c>
      <c r="C241">
        <v>-1E-4</v>
      </c>
      <c r="D241">
        <v>1.8E-3</v>
      </c>
      <c r="E241">
        <f t="shared" si="45"/>
        <v>8.7869694402325136E-27</v>
      </c>
      <c r="F241">
        <f t="shared" si="46"/>
        <v>2.4314632034632033E-2</v>
      </c>
      <c r="G241">
        <f t="shared" si="52"/>
        <v>6.7443226546743686E-4</v>
      </c>
      <c r="H241">
        <f t="shared" si="47"/>
        <v>8.2588055997525436E-27</v>
      </c>
      <c r="I241">
        <f t="shared" si="53"/>
        <v>6.3389374557206531E-4</v>
      </c>
      <c r="J241">
        <f t="shared" si="54"/>
        <v>2.1479489568709431E-2</v>
      </c>
      <c r="K241">
        <f t="shared" si="48"/>
        <v>3.9539740259740254E-2</v>
      </c>
      <c r="L241">
        <f t="shared" si="55"/>
        <v>1.8060250691030823E-2</v>
      </c>
      <c r="M241">
        <f t="shared" si="56"/>
        <v>401.33890424512936</v>
      </c>
      <c r="O241">
        <v>1.5E-3</v>
      </c>
      <c r="P241">
        <f t="shared" si="49"/>
        <v>2.8158441558441502E-3</v>
      </c>
      <c r="Q241">
        <f t="shared" si="50"/>
        <v>8.1649693844388436E-27</v>
      </c>
      <c r="R241">
        <f t="shared" si="57"/>
        <v>6.266914704637505E-4</v>
      </c>
      <c r="S241">
        <f t="shared" si="51"/>
        <v>2.0994164260535641E-2</v>
      </c>
      <c r="T241">
        <f t="shared" si="58"/>
        <v>-1.8178320104691489E-2</v>
      </c>
      <c r="U241">
        <f t="shared" si="59"/>
        <v>-1.9641223632315317E-2</v>
      </c>
    </row>
    <row r="242" spans="2:21" x14ac:dyDescent="0.25">
      <c r="B242">
        <v>423</v>
      </c>
      <c r="C242">
        <v>-2.0000000000000001E-4</v>
      </c>
      <c r="D242">
        <v>1.8E-3</v>
      </c>
      <c r="E242">
        <f t="shared" si="45"/>
        <v>6.603336018425824E-27</v>
      </c>
      <c r="F242">
        <f t="shared" si="46"/>
        <v>2.4386450216450209E-2</v>
      </c>
      <c r="G242">
        <f t="shared" si="52"/>
        <v>6.7642433752496979E-4</v>
      </c>
      <c r="H242">
        <f t="shared" si="47"/>
        <v>6.2064251909563701E-27</v>
      </c>
      <c r="I242">
        <f t="shared" si="53"/>
        <v>6.3576607891472324E-4</v>
      </c>
      <c r="J242">
        <f t="shared" si="54"/>
        <v>2.1542933584025394E-2</v>
      </c>
      <c r="K242">
        <f t="shared" si="48"/>
        <v>3.9814805194805188E-2</v>
      </c>
      <c r="L242">
        <f t="shared" si="55"/>
        <v>1.8271871610779793E-2</v>
      </c>
      <c r="M242">
        <f t="shared" si="56"/>
        <v>406.04159135066203</v>
      </c>
      <c r="O242">
        <v>1.5E-3</v>
      </c>
      <c r="P242">
        <f t="shared" si="49"/>
        <v>2.885454545454537E-3</v>
      </c>
      <c r="Q242">
        <f t="shared" si="50"/>
        <v>6.1359080388678876E-27</v>
      </c>
      <c r="R242">
        <f t="shared" si="57"/>
        <v>6.2854253043066928E-4</v>
      </c>
      <c r="S242">
        <f t="shared" si="51"/>
        <v>2.1056174769427422E-2</v>
      </c>
      <c r="T242">
        <f t="shared" si="58"/>
        <v>-1.8170720223972883E-2</v>
      </c>
      <c r="U242">
        <f t="shared" si="59"/>
        <v>-1.9650765318195977E-2</v>
      </c>
    </row>
    <row r="243" spans="2:21" x14ac:dyDescent="0.25">
      <c r="B243">
        <v>424</v>
      </c>
      <c r="C243">
        <v>-2.9999999999999997E-4</v>
      </c>
      <c r="D243">
        <v>1.6999999999999999E-3</v>
      </c>
      <c r="E243">
        <f t="shared" si="45"/>
        <v>4.9623532742234848E-27</v>
      </c>
      <c r="F243">
        <f t="shared" si="46"/>
        <v>2.4458268398268396E-2</v>
      </c>
      <c r="G243">
        <f t="shared" si="52"/>
        <v>6.7841640958250294E-4</v>
      </c>
      <c r="H243">
        <f t="shared" si="47"/>
        <v>4.6640780177816153E-27</v>
      </c>
      <c r="I243">
        <f t="shared" si="53"/>
        <v>6.3763841225738139E-4</v>
      </c>
      <c r="J243">
        <f t="shared" si="54"/>
        <v>2.1606377599341368E-2</v>
      </c>
      <c r="K243">
        <f t="shared" si="48"/>
        <v>3.9989870129870118E-2</v>
      </c>
      <c r="L243">
        <f t="shared" si="55"/>
        <v>1.8383492530528751E-2</v>
      </c>
      <c r="M243">
        <f t="shared" si="56"/>
        <v>408.52205623397219</v>
      </c>
      <c r="O243">
        <v>1.1999999999999999E-3</v>
      </c>
      <c r="P243">
        <f t="shared" si="49"/>
        <v>2.6550649350649269E-3</v>
      </c>
      <c r="Q243">
        <f t="shared" si="50"/>
        <v>4.611084951916308E-27</v>
      </c>
      <c r="R243">
        <f t="shared" si="57"/>
        <v>6.3039359039758817E-4</v>
      </c>
      <c r="S243">
        <f t="shared" si="51"/>
        <v>2.1118185278319202E-2</v>
      </c>
      <c r="T243">
        <f t="shared" si="58"/>
        <v>-1.8463120343254275E-2</v>
      </c>
      <c r="U243">
        <f t="shared" si="59"/>
        <v>-1.9952206875497855E-2</v>
      </c>
    </row>
    <row r="244" spans="2:21" x14ac:dyDescent="0.25">
      <c r="B244">
        <v>425</v>
      </c>
      <c r="C244">
        <v>-2.0000000000000001E-4</v>
      </c>
      <c r="D244">
        <v>1.9E-3</v>
      </c>
      <c r="E244">
        <f t="shared" si="45"/>
        <v>3.7291680976832836E-27</v>
      </c>
      <c r="F244">
        <f t="shared" si="46"/>
        <v>2.4730086580086574E-2</v>
      </c>
      <c r="G244">
        <f t="shared" si="52"/>
        <v>6.8595602407873558E-4</v>
      </c>
      <c r="H244">
        <f t="shared" si="47"/>
        <v>3.5050166700875972E-27</v>
      </c>
      <c r="I244">
        <f t="shared" si="53"/>
        <v>6.4472483845301107E-4</v>
      </c>
      <c r="J244">
        <f t="shared" si="54"/>
        <v>2.1846501150980278E-2</v>
      </c>
      <c r="K244">
        <f t="shared" si="48"/>
        <v>4.0464935064935065E-2</v>
      </c>
      <c r="L244">
        <f t="shared" si="55"/>
        <v>1.8618433913954787E-2</v>
      </c>
      <c r="M244">
        <f t="shared" si="56"/>
        <v>413.74297586566189</v>
      </c>
      <c r="O244">
        <v>1.5E-3</v>
      </c>
      <c r="P244">
        <f t="shared" si="49"/>
        <v>3.0246753246753176E-3</v>
      </c>
      <c r="Q244">
        <f t="shared" si="50"/>
        <v>3.4651928123929323E-27</v>
      </c>
      <c r="R244">
        <f t="shared" si="57"/>
        <v>6.3739950090529356E-4</v>
      </c>
      <c r="S244">
        <f t="shared" si="51"/>
        <v>2.1352883280327334E-2</v>
      </c>
      <c r="T244">
        <f t="shared" si="58"/>
        <v>-1.8328207955652015E-2</v>
      </c>
      <c r="U244">
        <f t="shared" si="59"/>
        <v>-1.9836325042037872E-2</v>
      </c>
    </row>
    <row r="245" spans="2:21" x14ac:dyDescent="0.25">
      <c r="B245">
        <v>426</v>
      </c>
      <c r="C245">
        <v>-2.9999999999999997E-4</v>
      </c>
      <c r="D245">
        <v>1.8E-3</v>
      </c>
      <c r="E245">
        <f t="shared" si="45"/>
        <v>2.8024394742341267E-27</v>
      </c>
      <c r="F245">
        <f t="shared" si="46"/>
        <v>2.4801904761904761E-2</v>
      </c>
      <c r="G245">
        <f t="shared" si="52"/>
        <v>6.8794809613626873E-4</v>
      </c>
      <c r="H245">
        <f t="shared" si="47"/>
        <v>2.6339915007329239E-27</v>
      </c>
      <c r="I245">
        <f t="shared" si="53"/>
        <v>6.4659717179566922E-4</v>
      </c>
      <c r="J245">
        <f t="shared" si="54"/>
        <v>2.1909945166296251E-2</v>
      </c>
      <c r="K245">
        <f t="shared" si="48"/>
        <v>4.0640000000000003E-2</v>
      </c>
      <c r="L245">
        <f t="shared" si="55"/>
        <v>1.8730054833703751E-2</v>
      </c>
      <c r="M245">
        <f t="shared" si="56"/>
        <v>416.22344074897222</v>
      </c>
      <c r="O245">
        <v>1.1999999999999999E-3</v>
      </c>
      <c r="P245">
        <f t="shared" si="49"/>
        <v>2.7942857142857075E-3</v>
      </c>
      <c r="Q245">
        <f t="shared" si="50"/>
        <v>2.604064195796162E-27</v>
      </c>
      <c r="R245">
        <f t="shared" si="57"/>
        <v>6.3925056087221234E-4</v>
      </c>
      <c r="S245">
        <f t="shared" si="51"/>
        <v>2.1414893789219114E-2</v>
      </c>
      <c r="T245">
        <f t="shared" si="58"/>
        <v>-1.8620608074933407E-2</v>
      </c>
      <c r="U245">
        <f t="shared" si="59"/>
        <v>-2.0137766599339749E-2</v>
      </c>
    </row>
    <row r="246" spans="2:21" x14ac:dyDescent="0.25">
      <c r="B246">
        <v>427</v>
      </c>
      <c r="C246">
        <v>-2.9999999999999997E-4</v>
      </c>
      <c r="D246">
        <v>1.8E-3</v>
      </c>
      <c r="E246">
        <f t="shared" si="45"/>
        <v>2.106010456226047E-27</v>
      </c>
      <c r="F246">
        <f t="shared" si="46"/>
        <v>2.4973722943722937E-2</v>
      </c>
      <c r="G246">
        <f t="shared" si="52"/>
        <v>6.9271393941315151E-4</v>
      </c>
      <c r="H246">
        <f t="shared" si="47"/>
        <v>1.9794231751142683E-27</v>
      </c>
      <c r="I246">
        <f t="shared" si="53"/>
        <v>6.5107655156481303E-4</v>
      </c>
      <c r="J246">
        <f t="shared" si="54"/>
        <v>2.2061728949773689E-2</v>
      </c>
      <c r="K246">
        <f t="shared" si="48"/>
        <v>4.0915064935064936E-2</v>
      </c>
      <c r="L246">
        <f t="shared" si="55"/>
        <v>1.8853335985291247E-2</v>
      </c>
      <c r="M246">
        <f t="shared" si="56"/>
        <v>418.96302189536101</v>
      </c>
      <c r="O246">
        <v>1.4E-3</v>
      </c>
      <c r="P246">
        <f t="shared" si="49"/>
        <v>3.0638961038960983E-3</v>
      </c>
      <c r="Q246">
        <f t="shared" si="50"/>
        <v>1.9569330490284197E-27</v>
      </c>
      <c r="R246">
        <f t="shared" si="57"/>
        <v>6.4367904610952459E-4</v>
      </c>
      <c r="S246">
        <f t="shared" si="51"/>
        <v>2.1563248044669074E-2</v>
      </c>
      <c r="T246">
        <f t="shared" si="58"/>
        <v>-1.8499351940772978E-2</v>
      </c>
      <c r="U246">
        <f t="shared" si="59"/>
        <v>-2.0026496396971311E-2</v>
      </c>
    </row>
    <row r="247" spans="2:21" x14ac:dyDescent="0.25">
      <c r="B247">
        <v>428</v>
      </c>
      <c r="C247">
        <v>-2.9999999999999997E-4</v>
      </c>
      <c r="D247">
        <v>1.6000000000000001E-3</v>
      </c>
      <c r="E247">
        <f t="shared" si="45"/>
        <v>1.5826497173308566E-27</v>
      </c>
      <c r="F247">
        <f t="shared" si="46"/>
        <v>2.5145541125541113E-2</v>
      </c>
      <c r="G247">
        <f t="shared" si="52"/>
        <v>6.9747978269003418E-4</v>
      </c>
      <c r="H247">
        <f t="shared" si="47"/>
        <v>1.4875204058514389E-27</v>
      </c>
      <c r="I247">
        <f t="shared" si="53"/>
        <v>6.5555593133395673E-4</v>
      </c>
      <c r="J247">
        <f t="shared" si="54"/>
        <v>2.2213512733251121E-2</v>
      </c>
      <c r="K247">
        <f t="shared" si="48"/>
        <v>4.0990129870129864E-2</v>
      </c>
      <c r="L247">
        <f t="shared" si="55"/>
        <v>1.8776617136878743E-2</v>
      </c>
      <c r="M247">
        <f t="shared" si="56"/>
        <v>417.2581585973054</v>
      </c>
      <c r="O247">
        <v>1.4E-3</v>
      </c>
      <c r="P247">
        <f t="shared" si="49"/>
        <v>3.1335064935064851E-3</v>
      </c>
      <c r="Q247">
        <f t="shared" si="50"/>
        <v>1.4706192591418978E-27</v>
      </c>
      <c r="R247">
        <f t="shared" si="57"/>
        <v>6.4810753134683641E-4</v>
      </c>
      <c r="S247">
        <f t="shared" si="51"/>
        <v>2.171160230011902E-2</v>
      </c>
      <c r="T247">
        <f t="shared" si="58"/>
        <v>-1.8578095806612537E-2</v>
      </c>
      <c r="U247">
        <f t="shared" si="59"/>
        <v>-2.0099025937445295E-2</v>
      </c>
    </row>
    <row r="248" spans="2:21" x14ac:dyDescent="0.25">
      <c r="B248">
        <v>429</v>
      </c>
      <c r="C248">
        <v>-4.0000000000000002E-4</v>
      </c>
      <c r="D248">
        <v>1.9E-3</v>
      </c>
      <c r="E248">
        <f t="shared" si="45"/>
        <v>1.1893483816105868E-27</v>
      </c>
      <c r="F248">
        <f t="shared" si="46"/>
        <v>2.5217359307359303E-2</v>
      </c>
      <c r="G248">
        <f t="shared" si="52"/>
        <v>6.9947185474756744E-4</v>
      </c>
      <c r="H248">
        <f t="shared" si="47"/>
        <v>1.1178594782778965E-27</v>
      </c>
      <c r="I248">
        <f t="shared" si="53"/>
        <v>6.5742826467661488E-4</v>
      </c>
      <c r="J248">
        <f t="shared" si="54"/>
        <v>2.2276956748567094E-2</v>
      </c>
      <c r="K248">
        <f t="shared" si="48"/>
        <v>4.1565194805194799E-2</v>
      </c>
      <c r="L248">
        <f t="shared" si="55"/>
        <v>1.9288238056627705E-2</v>
      </c>
      <c r="M248">
        <f t="shared" si="56"/>
        <v>428.62751236950453</v>
      </c>
      <c r="O248">
        <v>1.4E-3</v>
      </c>
      <c r="P248">
        <f t="shared" si="49"/>
        <v>3.2031168831168754E-3</v>
      </c>
      <c r="Q248">
        <f t="shared" si="50"/>
        <v>1.1051584040817335E-27</v>
      </c>
      <c r="R248">
        <f t="shared" si="57"/>
        <v>6.4995859131375541E-4</v>
      </c>
      <c r="S248">
        <f t="shared" si="51"/>
        <v>2.1773612809010807E-2</v>
      </c>
      <c r="T248">
        <f t="shared" si="58"/>
        <v>-1.857049592589393E-2</v>
      </c>
      <c r="U248">
        <f t="shared" si="59"/>
        <v>-2.0132868009062301E-2</v>
      </c>
    </row>
    <row r="249" spans="2:21" x14ac:dyDescent="0.25">
      <c r="B249">
        <v>430</v>
      </c>
      <c r="C249">
        <v>-2.0000000000000001E-4</v>
      </c>
      <c r="D249">
        <v>2E-3</v>
      </c>
      <c r="E249">
        <f t="shared" si="45"/>
        <v>8.9378562884108285E-28</v>
      </c>
      <c r="F249">
        <f t="shared" si="46"/>
        <v>2.5589177489177481E-2</v>
      </c>
      <c r="G249">
        <f t="shared" si="52"/>
        <v>7.0978524046314993E-4</v>
      </c>
      <c r="H249">
        <f t="shared" si="47"/>
        <v>8.4006229982470021E-28</v>
      </c>
      <c r="I249">
        <f t="shared" si="53"/>
        <v>6.6712173729873054E-4</v>
      </c>
      <c r="J249">
        <f t="shared" si="54"/>
        <v>2.2605420068367483E-2</v>
      </c>
      <c r="K249">
        <f t="shared" si="48"/>
        <v>4.1940259740259736E-2</v>
      </c>
      <c r="L249">
        <f t="shared" si="55"/>
        <v>1.9334839671892253E-2</v>
      </c>
      <c r="M249">
        <f t="shared" si="56"/>
        <v>429.66310381982782</v>
      </c>
      <c r="O249">
        <v>1.1000000000000001E-3</v>
      </c>
      <c r="P249">
        <f t="shared" si="49"/>
        <v>2.9727272727272658E-3</v>
      </c>
      <c r="Q249">
        <f t="shared" si="50"/>
        <v>8.3051754593854089E-28</v>
      </c>
      <c r="R249">
        <f t="shared" si="57"/>
        <v>6.5954192709185406E-4</v>
      </c>
      <c r="S249">
        <f t="shared" si="51"/>
        <v>2.2094654557577111E-2</v>
      </c>
      <c r="T249">
        <f t="shared" si="58"/>
        <v>-1.9121927284849845E-2</v>
      </c>
      <c r="U249">
        <f t="shared" si="59"/>
        <v>-2.0688074158774435E-2</v>
      </c>
    </row>
    <row r="250" spans="2:21" x14ac:dyDescent="0.25">
      <c r="B250">
        <v>431</v>
      </c>
      <c r="C250">
        <v>-2.0000000000000001E-4</v>
      </c>
      <c r="D250">
        <v>1.6999999999999999E-3</v>
      </c>
      <c r="E250">
        <f t="shared" si="45"/>
        <v>6.7167262567849841E-28</v>
      </c>
      <c r="F250">
        <f t="shared" si="46"/>
        <v>2.5760995670995671E-2</v>
      </c>
      <c r="G250">
        <f t="shared" si="52"/>
        <v>7.1455108374003304E-4</v>
      </c>
      <c r="H250">
        <f t="shared" si="47"/>
        <v>6.3129998116930871E-28</v>
      </c>
      <c r="I250">
        <f t="shared" si="53"/>
        <v>6.7160111706787468E-4</v>
      </c>
      <c r="J250">
        <f t="shared" si="54"/>
        <v>2.2757203851844932E-2</v>
      </c>
      <c r="K250">
        <f t="shared" si="48"/>
        <v>4.1915324675324668E-2</v>
      </c>
      <c r="L250">
        <f t="shared" si="55"/>
        <v>1.9158120823479736E-2</v>
      </c>
      <c r="M250">
        <f t="shared" si="56"/>
        <v>425.7360182995497</v>
      </c>
      <c r="O250">
        <v>1E-3</v>
      </c>
      <c r="P250">
        <f t="shared" si="49"/>
        <v>2.9423376623376558E-3</v>
      </c>
      <c r="Q250">
        <f t="shared" si="50"/>
        <v>6.2412717630726995E-28</v>
      </c>
      <c r="R250">
        <f t="shared" si="57"/>
        <v>6.6397041232916642E-4</v>
      </c>
      <c r="S250">
        <f t="shared" si="51"/>
        <v>2.2243008813027074E-2</v>
      </c>
      <c r="T250">
        <f t="shared" si="58"/>
        <v>-1.9300671150689418E-2</v>
      </c>
      <c r="U250">
        <f t="shared" si="59"/>
        <v>-2.0852503570669652E-2</v>
      </c>
    </row>
    <row r="251" spans="2:21" x14ac:dyDescent="0.25">
      <c r="B251">
        <v>432</v>
      </c>
      <c r="C251">
        <v>-2.0000000000000001E-4</v>
      </c>
      <c r="D251">
        <v>2.0999999999999999E-3</v>
      </c>
      <c r="E251">
        <f t="shared" si="45"/>
        <v>5.0475651154831846E-28</v>
      </c>
      <c r="F251">
        <f t="shared" si="46"/>
        <v>2.5932813852813846E-2</v>
      </c>
      <c r="G251">
        <f t="shared" si="52"/>
        <v>7.1931692701691571E-4</v>
      </c>
      <c r="H251">
        <f t="shared" si="47"/>
        <v>4.7441679778694028E-28</v>
      </c>
      <c r="I251">
        <f t="shared" si="53"/>
        <v>6.7608049683701838E-4</v>
      </c>
      <c r="J251">
        <f t="shared" si="54"/>
        <v>2.2908987635322366E-2</v>
      </c>
      <c r="K251">
        <f t="shared" si="48"/>
        <v>4.2590389610389599E-2</v>
      </c>
      <c r="L251">
        <f t="shared" si="55"/>
        <v>1.9681401975067233E-2</v>
      </c>
      <c r="M251">
        <f t="shared" si="56"/>
        <v>437.3644883348274</v>
      </c>
      <c r="O251">
        <v>1.1000000000000001E-3</v>
      </c>
      <c r="P251">
        <f t="shared" si="49"/>
        <v>3.1119480519480464E-3</v>
      </c>
      <c r="Q251">
        <f t="shared" si="50"/>
        <v>4.6902649331156856E-28</v>
      </c>
      <c r="R251">
        <f t="shared" si="57"/>
        <v>6.6839889756647834E-4</v>
      </c>
      <c r="S251">
        <f t="shared" si="51"/>
        <v>2.2391363068477024E-2</v>
      </c>
      <c r="T251">
        <f t="shared" si="58"/>
        <v>-1.9279415016528977E-2</v>
      </c>
      <c r="U251">
        <f t="shared" si="59"/>
        <v>-2.0873633882616326E-2</v>
      </c>
    </row>
    <row r="252" spans="2:21" x14ac:dyDescent="0.25">
      <c r="B252">
        <v>433</v>
      </c>
      <c r="C252">
        <v>-5.0000000000000001E-4</v>
      </c>
      <c r="D252">
        <v>1.8E-3</v>
      </c>
      <c r="E252">
        <f t="shared" si="45"/>
        <v>3.7932041028627782E-28</v>
      </c>
      <c r="F252">
        <f t="shared" si="46"/>
        <v>2.5804632034632034E-2</v>
      </c>
      <c r="G252">
        <f t="shared" si="52"/>
        <v>7.1576145663574937E-4</v>
      </c>
      <c r="H252">
        <f t="shared" si="47"/>
        <v>3.5652036232526695E-28</v>
      </c>
      <c r="I252">
        <f t="shared" si="53"/>
        <v>6.7273873732670499E-4</v>
      </c>
      <c r="J252">
        <f t="shared" si="54"/>
        <v>2.2795752114315396E-2</v>
      </c>
      <c r="K252">
        <f t="shared" si="48"/>
        <v>4.2565454545454538E-2</v>
      </c>
      <c r="L252">
        <f t="shared" si="55"/>
        <v>1.9769702431139142E-2</v>
      </c>
      <c r="M252">
        <f t="shared" si="56"/>
        <v>439.32672069198088</v>
      </c>
      <c r="O252">
        <v>1.1999999999999999E-3</v>
      </c>
      <c r="P252">
        <f t="shared" si="49"/>
        <v>3.2815584415584326E-3</v>
      </c>
      <c r="Q252">
        <f t="shared" si="50"/>
        <v>3.5246959238295538E-28</v>
      </c>
      <c r="R252">
        <f t="shared" si="57"/>
        <v>6.6509510699261083E-4</v>
      </c>
      <c r="S252">
        <f t="shared" si="51"/>
        <v>2.2280686084252464E-2</v>
      </c>
      <c r="T252">
        <f t="shared" si="58"/>
        <v>-1.8999127642694031E-2</v>
      </c>
      <c r="U252">
        <f t="shared" si="59"/>
        <v>-2.0600498959258855E-2</v>
      </c>
    </row>
    <row r="253" spans="2:21" x14ac:dyDescent="0.25">
      <c r="B253">
        <v>434</v>
      </c>
      <c r="C253">
        <v>-4.0000000000000002E-4</v>
      </c>
      <c r="D253">
        <v>1.6999999999999999E-3</v>
      </c>
      <c r="E253">
        <f t="shared" si="45"/>
        <v>2.8505620109464539E-28</v>
      </c>
      <c r="F253">
        <f t="shared" si="46"/>
        <v>2.6076450216450209E-2</v>
      </c>
      <c r="G253">
        <f t="shared" si="52"/>
        <v>7.233010711319819E-4</v>
      </c>
      <c r="H253">
        <f t="shared" si="47"/>
        <v>2.6792215061833071E-28</v>
      </c>
      <c r="I253">
        <f t="shared" si="53"/>
        <v>6.7982516352233457E-4</v>
      </c>
      <c r="J253">
        <f t="shared" si="54"/>
        <v>2.3035875665954306E-2</v>
      </c>
      <c r="K253">
        <f t="shared" si="48"/>
        <v>4.2740519480519469E-2</v>
      </c>
      <c r="L253">
        <f t="shared" si="55"/>
        <v>1.9704643814565163E-2</v>
      </c>
      <c r="M253">
        <f t="shared" si="56"/>
        <v>437.88097365700361</v>
      </c>
      <c r="O253">
        <v>1.1000000000000001E-3</v>
      </c>
      <c r="P253">
        <f t="shared" si="49"/>
        <v>3.2511688311688235E-3</v>
      </c>
      <c r="Q253">
        <f t="shared" si="50"/>
        <v>2.6487802997533063E-28</v>
      </c>
      <c r="R253">
        <f t="shared" si="57"/>
        <v>6.7210101750031601E-4</v>
      </c>
      <c r="S253">
        <f t="shared" si="51"/>
        <v>2.2515384086260585E-2</v>
      </c>
      <c r="T253">
        <f t="shared" si="58"/>
        <v>-1.9264215255091761E-2</v>
      </c>
      <c r="U253">
        <f t="shared" si="59"/>
        <v>-2.0860316740062518E-2</v>
      </c>
    </row>
    <row r="254" spans="2:21" x14ac:dyDescent="0.25">
      <c r="B254">
        <v>435</v>
      </c>
      <c r="C254">
        <v>-2.9999999999999997E-4</v>
      </c>
      <c r="D254">
        <v>2E-3</v>
      </c>
      <c r="E254">
        <f t="shared" si="45"/>
        <v>2.1421741509028004E-28</v>
      </c>
      <c r="F254">
        <f t="shared" si="46"/>
        <v>2.6348268398268385E-2</v>
      </c>
      <c r="G254">
        <f t="shared" si="52"/>
        <v>7.3084068562821443E-4</v>
      </c>
      <c r="H254">
        <f t="shared" si="47"/>
        <v>2.0134131560895755E-28</v>
      </c>
      <c r="I254">
        <f t="shared" si="53"/>
        <v>6.8691158971796414E-4</v>
      </c>
      <c r="J254">
        <f t="shared" si="54"/>
        <v>2.3275999217593213E-2</v>
      </c>
      <c r="K254">
        <f t="shared" si="48"/>
        <v>4.3315584415584404E-2</v>
      </c>
      <c r="L254">
        <f t="shared" si="55"/>
        <v>2.0039585197991192E-2</v>
      </c>
      <c r="M254">
        <f t="shared" si="56"/>
        <v>445.32411551091536</v>
      </c>
      <c r="O254">
        <v>1.1999999999999999E-3</v>
      </c>
      <c r="P254">
        <f t="shared" si="49"/>
        <v>3.4207792207792131E-3</v>
      </c>
      <c r="Q254">
        <f t="shared" si="50"/>
        <v>1.9905368372141297E-28</v>
      </c>
      <c r="R254">
        <f t="shared" si="57"/>
        <v>6.7910692800802119E-4</v>
      </c>
      <c r="S254">
        <f t="shared" si="51"/>
        <v>2.275008208826871E-2</v>
      </c>
      <c r="T254">
        <f t="shared" si="58"/>
        <v>-1.9329302867489496E-2</v>
      </c>
      <c r="U254">
        <f t="shared" si="59"/>
        <v>-2.0952535035181311E-2</v>
      </c>
    </row>
    <row r="255" spans="2:21" x14ac:dyDescent="0.25">
      <c r="B255">
        <v>436</v>
      </c>
      <c r="C255">
        <v>-2.9999999999999997E-4</v>
      </c>
      <c r="D255">
        <v>2.0999999999999999E-3</v>
      </c>
      <c r="E255">
        <f t="shared" si="45"/>
        <v>1.6098264395492094E-28</v>
      </c>
      <c r="F255">
        <f t="shared" si="46"/>
        <v>2.6520086580086574E-2</v>
      </c>
      <c r="G255">
        <f t="shared" si="52"/>
        <v>7.3560652890509754E-4</v>
      </c>
      <c r="H255">
        <f t="shared" si="47"/>
        <v>1.5130635999147053E-28</v>
      </c>
      <c r="I255">
        <f t="shared" si="53"/>
        <v>6.9139096948710827E-4</v>
      </c>
      <c r="J255">
        <f t="shared" si="54"/>
        <v>2.3427783001070662E-2</v>
      </c>
      <c r="K255">
        <f t="shared" si="48"/>
        <v>4.3690649350649348E-2</v>
      </c>
      <c r="L255">
        <f t="shared" si="55"/>
        <v>2.0262866349578686E-2</v>
      </c>
      <c r="M255">
        <f t="shared" si="56"/>
        <v>450.28591887952632</v>
      </c>
      <c r="O255">
        <v>1.1999999999999999E-3</v>
      </c>
      <c r="P255">
        <f t="shared" si="49"/>
        <v>3.4903896103896034E-3</v>
      </c>
      <c r="Q255">
        <f t="shared" si="50"/>
        <v>1.4958722324669509E-28</v>
      </c>
      <c r="R255">
        <f t="shared" si="57"/>
        <v>6.8353541324533355E-4</v>
      </c>
      <c r="S255">
        <f t="shared" si="51"/>
        <v>2.2898436343718673E-2</v>
      </c>
      <c r="T255">
        <f t="shared" si="58"/>
        <v>-1.9408046733329069E-2</v>
      </c>
      <c r="U255">
        <f t="shared" si="59"/>
        <v>-2.1049364961391655E-2</v>
      </c>
    </row>
    <row r="256" spans="2:21" x14ac:dyDescent="0.25">
      <c r="B256">
        <v>437</v>
      </c>
      <c r="C256">
        <v>-4.0000000000000002E-4</v>
      </c>
      <c r="D256">
        <v>1.9E-3</v>
      </c>
      <c r="E256">
        <f t="shared" si="45"/>
        <v>1.2097714671701659E-28</v>
      </c>
      <c r="F256">
        <f t="shared" si="46"/>
        <v>2.6591904761904751E-2</v>
      </c>
      <c r="G256">
        <f t="shared" si="52"/>
        <v>7.3759860096263036E-4</v>
      </c>
      <c r="H256">
        <f t="shared" si="47"/>
        <v>1.1370549807239839E-28</v>
      </c>
      <c r="I256">
        <f t="shared" si="53"/>
        <v>6.9326330282976621E-4</v>
      </c>
      <c r="J256">
        <f t="shared" si="54"/>
        <v>2.3491227016386628E-2</v>
      </c>
      <c r="K256">
        <f t="shared" si="48"/>
        <v>4.3765714285714283E-2</v>
      </c>
      <c r="L256">
        <f t="shared" si="55"/>
        <v>2.0274487269327655E-2</v>
      </c>
      <c r="M256">
        <f t="shared" si="56"/>
        <v>450.54416154061454</v>
      </c>
      <c r="O256">
        <v>1.1000000000000001E-3</v>
      </c>
      <c r="P256">
        <f t="shared" si="49"/>
        <v>3.4599999999999943E-3</v>
      </c>
      <c r="Q256">
        <f t="shared" si="50"/>
        <v>1.1241358080051192E-28</v>
      </c>
      <c r="R256">
        <f t="shared" si="57"/>
        <v>6.8538647321225222E-4</v>
      </c>
      <c r="S256">
        <f t="shared" si="51"/>
        <v>2.296044685261045E-2</v>
      </c>
      <c r="T256">
        <f t="shared" si="58"/>
        <v>-1.9500446852610456E-2</v>
      </c>
      <c r="U256">
        <f t="shared" si="59"/>
        <v>-2.1142706390114747E-2</v>
      </c>
    </row>
    <row r="257" spans="2:21" x14ac:dyDescent="0.25">
      <c r="B257">
        <v>438</v>
      </c>
      <c r="C257">
        <v>-4.0000000000000002E-4</v>
      </c>
      <c r="D257">
        <v>2E-3</v>
      </c>
      <c r="E257">
        <f t="shared" si="45"/>
        <v>9.0913341141847794E-29</v>
      </c>
      <c r="F257">
        <f t="shared" si="46"/>
        <v>2.676372294372294E-2</v>
      </c>
      <c r="G257">
        <f t="shared" si="52"/>
        <v>7.4236444423951347E-4</v>
      </c>
      <c r="H257">
        <f t="shared" si="47"/>
        <v>8.5448756368343307E-29</v>
      </c>
      <c r="I257">
        <f t="shared" si="53"/>
        <v>6.9774268259891045E-4</v>
      </c>
      <c r="J257">
        <f t="shared" si="54"/>
        <v>2.364301079986408E-2</v>
      </c>
      <c r="K257">
        <f t="shared" si="48"/>
        <v>4.4140779220779219E-2</v>
      </c>
      <c r="L257">
        <f t="shared" si="55"/>
        <v>2.0497768420915139E-2</v>
      </c>
      <c r="M257">
        <f t="shared" si="56"/>
        <v>455.50596490922527</v>
      </c>
      <c r="O257">
        <v>1.2999999999999999E-3</v>
      </c>
      <c r="P257">
        <f t="shared" si="49"/>
        <v>3.7296103896103808E-3</v>
      </c>
      <c r="Q257">
        <f t="shared" si="50"/>
        <v>8.4477891053253676E-29</v>
      </c>
      <c r="R257">
        <f t="shared" si="57"/>
        <v>6.8981495844956469E-4</v>
      </c>
      <c r="S257">
        <f t="shared" si="51"/>
        <v>2.3108801108060417E-2</v>
      </c>
      <c r="T257">
        <f t="shared" si="58"/>
        <v>-1.9379190718450037E-2</v>
      </c>
      <c r="U257">
        <f t="shared" si="59"/>
        <v>-2.1039536316325099E-2</v>
      </c>
    </row>
    <row r="258" spans="2:21" x14ac:dyDescent="0.25">
      <c r="B258">
        <v>439</v>
      </c>
      <c r="C258">
        <v>-2.0000000000000001E-4</v>
      </c>
      <c r="D258">
        <v>2E-3</v>
      </c>
      <c r="E258">
        <f t="shared" si="45"/>
        <v>6.8320635937196619E-29</v>
      </c>
      <c r="F258">
        <f t="shared" si="46"/>
        <v>2.7135541125541118E-2</v>
      </c>
      <c r="G258">
        <f t="shared" si="52"/>
        <v>7.5267782995509596E-4</v>
      </c>
      <c r="H258">
        <f t="shared" si="47"/>
        <v>6.4214044955395196E-29</v>
      </c>
      <c r="I258">
        <f t="shared" si="53"/>
        <v>7.0743615522102601E-4</v>
      </c>
      <c r="J258">
        <f t="shared" si="54"/>
        <v>2.3971474119664465E-2</v>
      </c>
      <c r="K258">
        <f t="shared" si="48"/>
        <v>4.4415844155844153E-2</v>
      </c>
      <c r="L258">
        <f t="shared" si="55"/>
        <v>2.0444370036179688E-2</v>
      </c>
      <c r="M258">
        <f t="shared" si="56"/>
        <v>454.31933413732634</v>
      </c>
      <c r="O258">
        <v>1.1999999999999999E-3</v>
      </c>
      <c r="P258">
        <f t="shared" si="49"/>
        <v>3.6992207792207708E-3</v>
      </c>
      <c r="Q258">
        <f t="shared" si="50"/>
        <v>6.3484447572841639E-29</v>
      </c>
      <c r="R258">
        <f t="shared" si="57"/>
        <v>6.9939829422766334E-4</v>
      </c>
      <c r="S258">
        <f t="shared" si="51"/>
        <v>2.342984285662672E-2</v>
      </c>
      <c r="T258">
        <f t="shared" si="58"/>
        <v>-1.9730622077405949E-2</v>
      </c>
      <c r="U258">
        <f t="shared" si="59"/>
        <v>-2.1386642337458447E-2</v>
      </c>
    </row>
    <row r="259" spans="2:21" x14ac:dyDescent="0.25">
      <c r="B259">
        <v>440</v>
      </c>
      <c r="C259">
        <v>-2.9999999999999997E-4</v>
      </c>
      <c r="D259">
        <v>1.9E-3</v>
      </c>
      <c r="E259">
        <f t="shared" si="45"/>
        <v>5.1342401854752609E-29</v>
      </c>
      <c r="F259">
        <f t="shared" si="46"/>
        <v>2.7207359307359305E-2</v>
      </c>
      <c r="G259">
        <f t="shared" si="52"/>
        <v>7.5466990201262911E-4</v>
      </c>
      <c r="H259">
        <f t="shared" si="47"/>
        <v>4.8256332154895489E-29</v>
      </c>
      <c r="I259">
        <f t="shared" si="53"/>
        <v>7.0930848856368405E-4</v>
      </c>
      <c r="J259">
        <f t="shared" si="54"/>
        <v>2.4034918134980432E-2</v>
      </c>
      <c r="K259">
        <f t="shared" si="48"/>
        <v>4.4590909090909084E-2</v>
      </c>
      <c r="L259">
        <f t="shared" si="55"/>
        <v>2.0555990955928652E-2</v>
      </c>
      <c r="M259">
        <f t="shared" si="56"/>
        <v>456.79979902063667</v>
      </c>
      <c r="O259">
        <v>1.1000000000000001E-3</v>
      </c>
      <c r="P259">
        <f t="shared" si="49"/>
        <v>3.6688311688311617E-3</v>
      </c>
      <c r="Q259">
        <f t="shared" si="50"/>
        <v>4.7708045659997019E-29</v>
      </c>
      <c r="R259">
        <f t="shared" si="57"/>
        <v>7.0124935419458212E-4</v>
      </c>
      <c r="S259">
        <f t="shared" si="51"/>
        <v>2.3491853365518501E-2</v>
      </c>
      <c r="T259">
        <f t="shared" si="58"/>
        <v>-1.9823022196687339E-2</v>
      </c>
      <c r="U259">
        <f t="shared" si="59"/>
        <v>-2.1488083894760319E-2</v>
      </c>
    </row>
    <row r="260" spans="2:21" x14ac:dyDescent="0.25">
      <c r="B260">
        <v>441</v>
      </c>
      <c r="C260">
        <v>-5.0000000000000001E-4</v>
      </c>
      <c r="D260">
        <v>1.6000000000000001E-3</v>
      </c>
      <c r="E260">
        <f t="shared" si="45"/>
        <v>3.8583397125255608E-29</v>
      </c>
      <c r="F260">
        <f t="shared" si="46"/>
        <v>2.7179177489177482E-2</v>
      </c>
      <c r="G260">
        <f t="shared" si="52"/>
        <v>7.5388820285081219E-4</v>
      </c>
      <c r="H260">
        <f t="shared" si="47"/>
        <v>3.6264240862900423E-29</v>
      </c>
      <c r="I260">
        <f t="shared" si="53"/>
        <v>7.0857377547985589E-4</v>
      </c>
      <c r="J260">
        <f t="shared" si="54"/>
        <v>2.4010022382134916E-2</v>
      </c>
      <c r="K260">
        <f t="shared" si="48"/>
        <v>4.4565974025974016E-2</v>
      </c>
      <c r="L260">
        <f t="shared" si="55"/>
        <v>2.0555951643839099E-2</v>
      </c>
      <c r="M260">
        <f t="shared" si="56"/>
        <v>456.7989254186466</v>
      </c>
      <c r="O260">
        <v>1.1000000000000001E-3</v>
      </c>
      <c r="P260">
        <f t="shared" si="49"/>
        <v>3.738441558441552E-3</v>
      </c>
      <c r="Q260">
        <f t="shared" si="50"/>
        <v>3.585220802441093E-29</v>
      </c>
      <c r="R260">
        <f t="shared" si="57"/>
        <v>7.0052298889110754E-4</v>
      </c>
      <c r="S260">
        <f t="shared" si="51"/>
        <v>2.3467520127852103E-2</v>
      </c>
      <c r="T260">
        <f t="shared" si="58"/>
        <v>-1.9729078569410551E-2</v>
      </c>
      <c r="U260">
        <f t="shared" si="59"/>
        <v>-2.1394137083153731E-2</v>
      </c>
    </row>
    <row r="261" spans="2:21" x14ac:dyDescent="0.25">
      <c r="B261">
        <v>442</v>
      </c>
      <c r="C261">
        <v>-4.0000000000000002E-4</v>
      </c>
      <c r="D261">
        <v>1.6999999999999999E-3</v>
      </c>
      <c r="E261">
        <f t="shared" si="45"/>
        <v>2.8995108914784846E-29</v>
      </c>
      <c r="F261">
        <f t="shared" si="46"/>
        <v>2.7450995670995671E-2</v>
      </c>
      <c r="G261">
        <f t="shared" si="52"/>
        <v>7.6142781734704515E-4</v>
      </c>
      <c r="H261">
        <f t="shared" si="47"/>
        <v>2.7252281858911698E-29</v>
      </c>
      <c r="I261">
        <f t="shared" si="53"/>
        <v>7.1566020167548611E-4</v>
      </c>
      <c r="J261">
        <f t="shared" si="54"/>
        <v>2.4250145933773847E-2</v>
      </c>
      <c r="K261">
        <f t="shared" si="48"/>
        <v>4.4941038961038952E-2</v>
      </c>
      <c r="L261">
        <f t="shared" si="55"/>
        <v>2.0690893027265105E-2</v>
      </c>
      <c r="M261">
        <f t="shared" si="56"/>
        <v>459.79762282811345</v>
      </c>
      <c r="O261">
        <v>1E-3</v>
      </c>
      <c r="P261">
        <f t="shared" si="49"/>
        <v>3.7080519480519386E-3</v>
      </c>
      <c r="Q261">
        <f t="shared" si="50"/>
        <v>2.6942642534264187E-29</v>
      </c>
      <c r="R261">
        <f t="shared" si="57"/>
        <v>7.0752889939881326E-4</v>
      </c>
      <c r="S261">
        <f t="shared" si="51"/>
        <v>2.3702218129860245E-2</v>
      </c>
      <c r="T261">
        <f t="shared" si="58"/>
        <v>-1.9994166181808305E-2</v>
      </c>
      <c r="U261">
        <f t="shared" si="59"/>
        <v>-2.1670155121114979E-2</v>
      </c>
    </row>
    <row r="262" spans="2:21" x14ac:dyDescent="0.25">
      <c r="B262">
        <v>443</v>
      </c>
      <c r="C262">
        <v>-5.0000000000000001E-4</v>
      </c>
      <c r="D262">
        <v>1.5E-3</v>
      </c>
      <c r="E262">
        <f t="shared" si="45"/>
        <v>2.1789588362345796E-29</v>
      </c>
      <c r="F262">
        <f t="shared" si="46"/>
        <v>2.7522813852813847E-2</v>
      </c>
      <c r="G262">
        <f t="shared" si="52"/>
        <v>7.6341988940457808E-4</v>
      </c>
      <c r="H262">
        <f t="shared" si="47"/>
        <v>2.0479868014481508E-29</v>
      </c>
      <c r="I262">
        <f t="shared" si="53"/>
        <v>7.1753253501814405E-4</v>
      </c>
      <c r="J262">
        <f t="shared" si="54"/>
        <v>2.431358994908981E-2</v>
      </c>
      <c r="K262">
        <f t="shared" si="48"/>
        <v>4.5016103896103887E-2</v>
      </c>
      <c r="L262">
        <f t="shared" si="55"/>
        <v>2.0702513947014077E-2</v>
      </c>
      <c r="M262">
        <f t="shared" si="56"/>
        <v>460.05586548920166</v>
      </c>
      <c r="O262">
        <v>1E-3</v>
      </c>
      <c r="P262">
        <f t="shared" si="49"/>
        <v>3.7776623376623289E-3</v>
      </c>
      <c r="Q262">
        <f t="shared" si="50"/>
        <v>2.0247176582119831E-29</v>
      </c>
      <c r="R262">
        <f t="shared" si="57"/>
        <v>7.0937995936573182E-4</v>
      </c>
      <c r="S262">
        <f t="shared" si="51"/>
        <v>2.3764228638752015E-2</v>
      </c>
      <c r="T262">
        <f t="shared" si="58"/>
        <v>-1.9986566301089685E-2</v>
      </c>
      <c r="U262">
        <f t="shared" si="59"/>
        <v>-2.1663496549838065E-2</v>
      </c>
    </row>
    <row r="263" spans="2:21" x14ac:dyDescent="0.25">
      <c r="B263">
        <v>444</v>
      </c>
      <c r="C263">
        <v>-2.0000000000000001E-4</v>
      </c>
      <c r="D263">
        <v>1.6000000000000001E-3</v>
      </c>
      <c r="E263">
        <f t="shared" si="45"/>
        <v>1.6374698311906595E-29</v>
      </c>
      <c r="F263">
        <f t="shared" si="46"/>
        <v>2.7994632034632025E-2</v>
      </c>
      <c r="G263">
        <f t="shared" si="52"/>
        <v>7.7650704633951031E-4</v>
      </c>
      <c r="H263">
        <f t="shared" si="47"/>
        <v>1.5390454130116359E-29</v>
      </c>
      <c r="I263">
        <f t="shared" si="53"/>
        <v>7.2983305406674548E-4</v>
      </c>
      <c r="J263">
        <f t="shared" si="54"/>
        <v>2.4730393037051671E-2</v>
      </c>
      <c r="K263">
        <f t="shared" si="48"/>
        <v>4.5391168831168817E-2</v>
      </c>
      <c r="L263">
        <f t="shared" si="55"/>
        <v>2.0660775794117146E-2</v>
      </c>
      <c r="M263">
        <f t="shared" si="56"/>
        <v>459.12835098038101</v>
      </c>
      <c r="O263">
        <v>1.1000000000000001E-3</v>
      </c>
      <c r="P263">
        <f t="shared" si="49"/>
        <v>3.9472727272727194E-3</v>
      </c>
      <c r="Q263">
        <f t="shared" si="50"/>
        <v>1.5215588412539413E-29</v>
      </c>
      <c r="R263">
        <f t="shared" si="57"/>
        <v>7.2154072041422373E-4</v>
      </c>
      <c r="S263">
        <f t="shared" si="51"/>
        <v>2.4171614133876494E-2</v>
      </c>
      <c r="T263">
        <f t="shared" si="58"/>
        <v>-2.0224341406603775E-2</v>
      </c>
      <c r="U263">
        <f t="shared" si="59"/>
        <v>-2.1897890811301092E-2</v>
      </c>
    </row>
    <row r="264" spans="2:21" x14ac:dyDescent="0.25">
      <c r="B264">
        <v>445</v>
      </c>
      <c r="C264">
        <v>-1E-4</v>
      </c>
      <c r="D264">
        <v>1.6000000000000001E-3</v>
      </c>
      <c r="E264">
        <f t="shared" si="45"/>
        <v>1.2305452510030199E-29</v>
      </c>
      <c r="F264">
        <f t="shared" si="46"/>
        <v>2.8266450216450214E-2</v>
      </c>
      <c r="G264">
        <f t="shared" si="52"/>
        <v>7.8404666083574316E-4</v>
      </c>
      <c r="H264">
        <f t="shared" si="47"/>
        <v>1.1565801018039868E-29</v>
      </c>
      <c r="I264">
        <f t="shared" si="53"/>
        <v>7.3691948026237538E-4</v>
      </c>
      <c r="J264">
        <f t="shared" si="54"/>
        <v>2.4970516588690587E-2</v>
      </c>
      <c r="K264">
        <f t="shared" si="48"/>
        <v>4.5666233766233751E-2</v>
      </c>
      <c r="L264">
        <f t="shared" si="55"/>
        <v>2.0695717177543163E-2</v>
      </c>
      <c r="M264">
        <f t="shared" si="56"/>
        <v>459.9048261676258</v>
      </c>
      <c r="O264">
        <v>1.1999999999999999E-3</v>
      </c>
      <c r="P264">
        <f t="shared" si="49"/>
        <v>4.1168831168831091E-3</v>
      </c>
      <c r="Q264">
        <f t="shared" si="50"/>
        <v>1.1434390854488288E-29</v>
      </c>
      <c r="R264">
        <f t="shared" si="57"/>
        <v>7.2854663092192945E-4</v>
      </c>
      <c r="S264">
        <f t="shared" si="51"/>
        <v>2.4406312135884636E-2</v>
      </c>
      <c r="T264">
        <f t="shared" si="58"/>
        <v>-2.0289429019001527E-2</v>
      </c>
      <c r="U264">
        <f t="shared" si="59"/>
        <v>-2.1965808720683558E-2</v>
      </c>
    </row>
    <row r="265" spans="2:21" x14ac:dyDescent="0.25">
      <c r="B265">
        <v>446</v>
      </c>
      <c r="C265">
        <v>-2.9999999999999997E-4</v>
      </c>
      <c r="D265">
        <v>1.6000000000000001E-3</v>
      </c>
      <c r="E265">
        <f t="shared" ref="E265:E319" si="60">(1.1500276+0.0284*$C$4)*EXP((-0.3101349+0.001222*$C$4)*($B265-210))*$C$5/35</f>
        <v>9.2474474089397463E-30</v>
      </c>
      <c r="F265">
        <f t="shared" ref="F265:F319" si="61">C265-($F$5*B265+$F$4)</f>
        <v>2.8238268398268387E-2</v>
      </c>
      <c r="G265">
        <f t="shared" si="52"/>
        <v>7.8326496167392624E-4</v>
      </c>
      <c r="H265">
        <f t="shared" ref="H265:H319" si="62">(1.1500276+0.0284*$D$4)*EXP((-0.3101349+0.001222*$D$4)*($B265-210))*$D$5/35</f>
        <v>8.6916053326285171E-30</v>
      </c>
      <c r="I265">
        <f t="shared" si="53"/>
        <v>7.3618476717854744E-4</v>
      </c>
      <c r="J265">
        <f t="shared" si="54"/>
        <v>2.4945620835845079E-2</v>
      </c>
      <c r="K265">
        <f t="shared" ref="K265:K319" si="63">D265-($K$5*B265+$K$4)</f>
        <v>4.5941298701298698E-2</v>
      </c>
      <c r="L265">
        <f t="shared" si="55"/>
        <v>2.0995677865453619E-2</v>
      </c>
      <c r="M265">
        <f t="shared" si="56"/>
        <v>466.57061923230265</v>
      </c>
      <c r="O265">
        <v>8.0000000000000004E-4</v>
      </c>
      <c r="P265">
        <f t="shared" ref="P265:P328" si="64">O265-($O$5*B265+$O$4)</f>
        <v>3.7864935064934996E-3</v>
      </c>
      <c r="Q265">
        <f t="shared" ref="Q265:Q319" si="65">(1.1500276+0.0284*$O$2)*EXP((-0.3101349+0.001222*$O$2)*($B265-210))*$O$3/35</f>
        <v>8.5928516642483507E-30</v>
      </c>
      <c r="R265">
        <f t="shared" si="57"/>
        <v>7.2782026561845486E-4</v>
      </c>
      <c r="S265">
        <f t="shared" ref="S265:S328" si="66">R265*$O$3</f>
        <v>2.4381978898218238E-2</v>
      </c>
      <c r="T265">
        <f t="shared" si="58"/>
        <v>-2.059548539172474E-2</v>
      </c>
      <c r="U265">
        <f t="shared" si="59"/>
        <v>-2.2296162294813317E-2</v>
      </c>
    </row>
    <row r="266" spans="2:21" x14ac:dyDescent="0.25">
      <c r="B266">
        <v>447</v>
      </c>
      <c r="C266">
        <v>-2.9999999999999997E-4</v>
      </c>
      <c r="D266">
        <v>1.5E-3</v>
      </c>
      <c r="E266">
        <f t="shared" si="60"/>
        <v>6.9493814641438646E-30</v>
      </c>
      <c r="F266">
        <f t="shared" si="61"/>
        <v>2.8410086580086577E-2</v>
      </c>
      <c r="G266">
        <f t="shared" ref="G266:G319" si="67">F266/$C$5</f>
        <v>7.8803080495080935E-4</v>
      </c>
      <c r="H266">
        <f t="shared" si="62"/>
        <v>6.5316706677164881E-30</v>
      </c>
      <c r="I266">
        <f t="shared" ref="I266:I319" si="68">$G266/$E266*H266</f>
        <v>7.4066414694769146E-4</v>
      </c>
      <c r="J266">
        <f t="shared" ref="J266:J319" si="69">I266*$D$5</f>
        <v>2.5097404619322524E-2</v>
      </c>
      <c r="K266">
        <f t="shared" si="63"/>
        <v>4.6116363636363636E-2</v>
      </c>
      <c r="L266">
        <f t="shared" ref="L266:L319" si="70">K266-J266</f>
        <v>2.1018959017041112E-2</v>
      </c>
      <c r="M266">
        <f t="shared" ref="M266:M319" si="71">L266/($D$6/1000000)</f>
        <v>467.08797815646915</v>
      </c>
      <c r="O266">
        <v>1.1000000000000001E-3</v>
      </c>
      <c r="P266">
        <f t="shared" si="64"/>
        <v>4.1561038961038868E-3</v>
      </c>
      <c r="Q266">
        <f t="shared" si="65"/>
        <v>6.4574580896710153E-30</v>
      </c>
      <c r="R266">
        <f t="shared" ref="R266:R319" si="72">$G266/$E266*Q266</f>
        <v>7.322487508557669E-4</v>
      </c>
      <c r="S266">
        <f t="shared" si="66"/>
        <v>2.4530333153668191E-2</v>
      </c>
      <c r="T266">
        <f t="shared" ref="T266:T319" si="73">P266-S266</f>
        <v>-2.0374229257564304E-2</v>
      </c>
      <c r="U266">
        <f t="shared" ref="U266:U319" si="74">T266-$T$5/1000000*M266</f>
        <v>-2.2076791963866089E-2</v>
      </c>
    </row>
    <row r="267" spans="2:21" x14ac:dyDescent="0.25">
      <c r="B267">
        <v>448</v>
      </c>
      <c r="C267">
        <v>-2.9999999999999997E-4</v>
      </c>
      <c r="D267">
        <v>1.6999999999999999E-3</v>
      </c>
      <c r="E267">
        <f t="shared" si="60"/>
        <v>5.2224036102653201E-30</v>
      </c>
      <c r="F267">
        <f t="shared" si="61"/>
        <v>2.8581904761904753E-2</v>
      </c>
      <c r="G267">
        <f t="shared" si="67"/>
        <v>7.9279664822769203E-4</v>
      </c>
      <c r="H267">
        <f t="shared" si="62"/>
        <v>4.9084973464395974E-30</v>
      </c>
      <c r="I267">
        <f t="shared" si="68"/>
        <v>7.4514352671683527E-4</v>
      </c>
      <c r="J267">
        <f t="shared" si="69"/>
        <v>2.5249188402799962E-2</v>
      </c>
      <c r="K267">
        <f t="shared" si="63"/>
        <v>4.6591428571428568E-2</v>
      </c>
      <c r="L267">
        <f t="shared" si="70"/>
        <v>2.1342240168628606E-2</v>
      </c>
      <c r="M267">
        <f t="shared" si="71"/>
        <v>474.27200374730234</v>
      </c>
      <c r="O267">
        <v>1E-3</v>
      </c>
      <c r="P267">
        <f t="shared" si="64"/>
        <v>4.1257142857142768E-3</v>
      </c>
      <c r="Q267">
        <f t="shared" si="65"/>
        <v>4.8527271980441649E-30</v>
      </c>
      <c r="R267">
        <f t="shared" si="72"/>
        <v>7.3667723609307904E-4</v>
      </c>
      <c r="S267">
        <f t="shared" si="66"/>
        <v>2.4678687409118147E-2</v>
      </c>
      <c r="T267">
        <f t="shared" si="73"/>
        <v>-2.0552973123403869E-2</v>
      </c>
      <c r="U267">
        <f t="shared" si="74"/>
        <v>-2.2281722018655206E-2</v>
      </c>
    </row>
    <row r="268" spans="2:21" x14ac:dyDescent="0.25">
      <c r="B268">
        <v>449</v>
      </c>
      <c r="C268">
        <v>-4.0000000000000002E-4</v>
      </c>
      <c r="D268">
        <v>1.4E-3</v>
      </c>
      <c r="E268">
        <f t="shared" si="60"/>
        <v>3.9245938087056253E-30</v>
      </c>
      <c r="F268">
        <f t="shared" si="61"/>
        <v>2.8653722943722943E-2</v>
      </c>
      <c r="G268">
        <f t="shared" si="67"/>
        <v>7.9478872028522528E-4</v>
      </c>
      <c r="H268">
        <f t="shared" si="62"/>
        <v>3.6886958062795436E-30</v>
      </c>
      <c r="I268">
        <f t="shared" si="68"/>
        <v>7.4701586005949342E-4</v>
      </c>
      <c r="J268">
        <f t="shared" si="69"/>
        <v>2.5312632418115932E-2</v>
      </c>
      <c r="K268">
        <f t="shared" si="63"/>
        <v>4.65664935064935E-2</v>
      </c>
      <c r="L268">
        <f t="shared" si="70"/>
        <v>2.1253861088377568E-2</v>
      </c>
      <c r="M268">
        <f t="shared" si="71"/>
        <v>472.30802418616815</v>
      </c>
      <c r="O268">
        <v>1E-3</v>
      </c>
      <c r="P268">
        <f t="shared" si="64"/>
        <v>4.1953246753246706E-3</v>
      </c>
      <c r="Q268">
        <f t="shared" si="65"/>
        <v>3.6467849936657737E-30</v>
      </c>
      <c r="R268">
        <f t="shared" si="72"/>
        <v>7.3852829605999815E-4</v>
      </c>
      <c r="S268">
        <f t="shared" si="66"/>
        <v>2.4740697918009938E-2</v>
      </c>
      <c r="T268">
        <f t="shared" si="73"/>
        <v>-2.0545373242685266E-2</v>
      </c>
      <c r="U268">
        <f t="shared" si="74"/>
        <v>-2.2266963318799526E-2</v>
      </c>
    </row>
    <row r="269" spans="2:21" x14ac:dyDescent="0.25">
      <c r="B269">
        <v>450</v>
      </c>
      <c r="C269">
        <v>-4.0000000000000002E-4</v>
      </c>
      <c r="D269">
        <v>1.5E-3</v>
      </c>
      <c r="E269">
        <f t="shared" si="60"/>
        <v>2.9493003055250296E-30</v>
      </c>
      <c r="F269">
        <f t="shared" si="61"/>
        <v>2.8825541125541119E-2</v>
      </c>
      <c r="G269">
        <f t="shared" si="67"/>
        <v>7.9955456356210807E-4</v>
      </c>
      <c r="H269">
        <f t="shared" si="62"/>
        <v>2.7720248766425058E-30</v>
      </c>
      <c r="I269">
        <f t="shared" si="68"/>
        <v>7.5149523982863723E-4</v>
      </c>
      <c r="J269">
        <f t="shared" si="69"/>
        <v>2.5464416201593371E-2</v>
      </c>
      <c r="K269">
        <f t="shared" si="63"/>
        <v>4.6941558441558437E-2</v>
      </c>
      <c r="L269">
        <f t="shared" si="70"/>
        <v>2.1477142239965066E-2</v>
      </c>
      <c r="M269">
        <f t="shared" si="71"/>
        <v>477.26982755477923</v>
      </c>
      <c r="O269">
        <v>8.9999999999999998E-4</v>
      </c>
      <c r="P269">
        <f t="shared" si="64"/>
        <v>4.1649350649350537E-3</v>
      </c>
      <c r="Q269">
        <f t="shared" si="65"/>
        <v>2.7405292420694689E-30</v>
      </c>
      <c r="R269">
        <f t="shared" si="72"/>
        <v>7.4295678129730996E-4</v>
      </c>
      <c r="S269">
        <f t="shared" si="66"/>
        <v>2.4889052173459884E-2</v>
      </c>
      <c r="T269">
        <f t="shared" si="73"/>
        <v>-2.0724117108524828E-2</v>
      </c>
      <c r="U269">
        <f t="shared" si="74"/>
        <v>-2.2463793245009859E-2</v>
      </c>
    </row>
    <row r="270" spans="2:21" x14ac:dyDescent="0.25">
      <c r="B270">
        <v>451</v>
      </c>
      <c r="C270">
        <v>-4.0000000000000002E-4</v>
      </c>
      <c r="D270">
        <v>1.4E-3</v>
      </c>
      <c r="E270">
        <f t="shared" si="60"/>
        <v>2.2163751756614854E-30</v>
      </c>
      <c r="F270">
        <f t="shared" si="61"/>
        <v>2.8997359307359295E-2</v>
      </c>
      <c r="G270">
        <f t="shared" si="67"/>
        <v>8.0432040683899074E-4</v>
      </c>
      <c r="H270">
        <f t="shared" si="62"/>
        <v>2.0831541336760633E-30</v>
      </c>
      <c r="I270">
        <f t="shared" si="68"/>
        <v>7.5597461959778104E-4</v>
      </c>
      <c r="J270">
        <f t="shared" si="69"/>
        <v>2.5616199985070809E-2</v>
      </c>
      <c r="K270">
        <f t="shared" si="63"/>
        <v>4.7116623376623368E-2</v>
      </c>
      <c r="L270">
        <f t="shared" si="70"/>
        <v>2.1500423391552559E-2</v>
      </c>
      <c r="M270">
        <f t="shared" si="71"/>
        <v>477.78718647894573</v>
      </c>
      <c r="O270">
        <v>8.0000000000000004E-4</v>
      </c>
      <c r="P270">
        <f t="shared" si="64"/>
        <v>4.1345454545454446E-3</v>
      </c>
      <c r="Q270">
        <f t="shared" si="65"/>
        <v>2.0594854206329678E-30</v>
      </c>
      <c r="R270">
        <f t="shared" si="72"/>
        <v>7.4738526653462189E-4</v>
      </c>
      <c r="S270">
        <f t="shared" si="66"/>
        <v>2.5037406428909833E-2</v>
      </c>
      <c r="T270">
        <f t="shared" si="73"/>
        <v>-2.090286097436439E-2</v>
      </c>
      <c r="U270">
        <f t="shared" si="74"/>
        <v>-2.2644422914062629E-2</v>
      </c>
    </row>
    <row r="271" spans="2:21" x14ac:dyDescent="0.25">
      <c r="B271">
        <v>452</v>
      </c>
      <c r="C271">
        <v>-4.0000000000000002E-4</v>
      </c>
      <c r="D271">
        <v>1.5E-3</v>
      </c>
      <c r="E271">
        <f t="shared" si="60"/>
        <v>1.6655879057436533E-30</v>
      </c>
      <c r="F271">
        <f t="shared" si="61"/>
        <v>2.9169177489177484E-2</v>
      </c>
      <c r="G271">
        <f t="shared" si="67"/>
        <v>8.0908625011587385E-4</v>
      </c>
      <c r="H271">
        <f t="shared" si="62"/>
        <v>1.5654733769589397E-30</v>
      </c>
      <c r="I271">
        <f t="shared" si="68"/>
        <v>7.6045399936692517E-4</v>
      </c>
      <c r="J271">
        <f t="shared" si="69"/>
        <v>2.5767983768548258E-2</v>
      </c>
      <c r="K271">
        <f t="shared" si="63"/>
        <v>4.7491688311688304E-2</v>
      </c>
      <c r="L271">
        <f t="shared" si="70"/>
        <v>2.1723704543140047E-2</v>
      </c>
      <c r="M271">
        <f t="shared" si="71"/>
        <v>482.74898984755657</v>
      </c>
      <c r="O271">
        <v>1E-3</v>
      </c>
      <c r="P271">
        <f t="shared" si="64"/>
        <v>4.4041558441558345E-3</v>
      </c>
      <c r="Q271">
        <f t="shared" si="65"/>
        <v>1.5476865317433816E-30</v>
      </c>
      <c r="R271">
        <f t="shared" si="72"/>
        <v>7.5181375177193446E-4</v>
      </c>
      <c r="S271">
        <f t="shared" si="66"/>
        <v>2.5185760684359803E-2</v>
      </c>
      <c r="T271">
        <f t="shared" si="73"/>
        <v>-2.0781604840203968E-2</v>
      </c>
      <c r="U271">
        <f t="shared" si="74"/>
        <v>-2.2541252840272977E-2</v>
      </c>
    </row>
    <row r="272" spans="2:21" x14ac:dyDescent="0.25">
      <c r="B272">
        <v>453</v>
      </c>
      <c r="C272">
        <v>-2.0000000000000001E-4</v>
      </c>
      <c r="D272">
        <v>1.4E-3</v>
      </c>
      <c r="E272">
        <f t="shared" si="60"/>
        <v>1.2516757551805564E-30</v>
      </c>
      <c r="F272">
        <f t="shared" si="61"/>
        <v>2.9540995670995662E-2</v>
      </c>
      <c r="G272">
        <f t="shared" si="67"/>
        <v>8.1939963583145634E-4</v>
      </c>
      <c r="H272">
        <f t="shared" si="62"/>
        <v>1.1764405016169187E-30</v>
      </c>
      <c r="I272">
        <f t="shared" si="68"/>
        <v>7.7014747198904073E-4</v>
      </c>
      <c r="J272">
        <f t="shared" si="69"/>
        <v>2.6096447088348643E-2</v>
      </c>
      <c r="K272">
        <f t="shared" si="63"/>
        <v>4.7666753246753235E-2</v>
      </c>
      <c r="L272">
        <f t="shared" si="70"/>
        <v>2.1570306158404592E-2</v>
      </c>
      <c r="M272">
        <f t="shared" si="71"/>
        <v>479.34013685343535</v>
      </c>
      <c r="O272">
        <v>1E-3</v>
      </c>
      <c r="P272">
        <f t="shared" si="64"/>
        <v>4.4737662337662248E-3</v>
      </c>
      <c r="Q272">
        <f t="shared" si="65"/>
        <v>1.1630738322020594E-30</v>
      </c>
      <c r="R272">
        <f t="shared" si="72"/>
        <v>7.6139708755003301E-4</v>
      </c>
      <c r="S272">
        <f t="shared" si="66"/>
        <v>2.5506802432926107E-2</v>
      </c>
      <c r="T272">
        <f t="shared" si="73"/>
        <v>-2.1033036199159881E-2</v>
      </c>
      <c r="U272">
        <f t="shared" si="74"/>
        <v>-2.2780258732827546E-2</v>
      </c>
    </row>
    <row r="273" spans="2:21" x14ac:dyDescent="0.25">
      <c r="B273">
        <v>454</v>
      </c>
      <c r="C273">
        <v>-2.9999999999999997E-4</v>
      </c>
      <c r="D273">
        <v>1.5E-3</v>
      </c>
      <c r="E273">
        <f t="shared" si="60"/>
        <v>9.4062414280519053E-31</v>
      </c>
      <c r="F273">
        <f t="shared" si="61"/>
        <v>2.9612813852813849E-2</v>
      </c>
      <c r="G273">
        <f t="shared" si="67"/>
        <v>8.2139170788898949E-4</v>
      </c>
      <c r="H273">
        <f t="shared" si="62"/>
        <v>8.8408546208126808E-31</v>
      </c>
      <c r="I273">
        <f t="shared" si="68"/>
        <v>7.7201980533169877E-4</v>
      </c>
      <c r="J273">
        <f t="shared" si="69"/>
        <v>2.6159891103664613E-2</v>
      </c>
      <c r="K273">
        <f t="shared" si="63"/>
        <v>4.8041818181818172E-2</v>
      </c>
      <c r="L273">
        <f t="shared" si="70"/>
        <v>2.1881927078153559E-2</v>
      </c>
      <c r="M273">
        <f t="shared" si="71"/>
        <v>486.26504618119014</v>
      </c>
      <c r="O273">
        <v>1E-3</v>
      </c>
      <c r="P273">
        <f t="shared" si="64"/>
        <v>4.5433766233766151E-3</v>
      </c>
      <c r="Q273">
        <f t="shared" si="65"/>
        <v>8.7404051880544446E-31</v>
      </c>
      <c r="R273">
        <f t="shared" si="72"/>
        <v>7.632481475169519E-4</v>
      </c>
      <c r="S273">
        <f t="shared" si="66"/>
        <v>2.5568812941817887E-2</v>
      </c>
      <c r="T273">
        <f t="shared" si="73"/>
        <v>-2.1025436318441271E-2</v>
      </c>
      <c r="U273">
        <f t="shared" si="74"/>
        <v>-2.2797900547286986E-2</v>
      </c>
    </row>
    <row r="274" spans="2:21" x14ac:dyDescent="0.25">
      <c r="B274">
        <v>455</v>
      </c>
      <c r="C274">
        <v>-2.0000000000000001E-4</v>
      </c>
      <c r="D274">
        <v>1.5E-3</v>
      </c>
      <c r="E274">
        <f t="shared" si="60"/>
        <v>7.0687138771043545E-31</v>
      </c>
      <c r="F274">
        <f t="shared" si="61"/>
        <v>2.9884632034632028E-2</v>
      </c>
      <c r="G274">
        <f t="shared" si="67"/>
        <v>8.2893132238522212E-4</v>
      </c>
      <c r="H274">
        <f t="shared" si="62"/>
        <v>6.6438302930678192E-31</v>
      </c>
      <c r="I274">
        <f t="shared" si="68"/>
        <v>7.7910623152732845E-4</v>
      </c>
      <c r="J274">
        <f t="shared" si="69"/>
        <v>2.6400014655303523E-2</v>
      </c>
      <c r="K274">
        <f t="shared" si="63"/>
        <v>4.8316883116883105E-2</v>
      </c>
      <c r="L274">
        <f t="shared" si="70"/>
        <v>2.1916868461579583E-2</v>
      </c>
      <c r="M274">
        <f t="shared" si="71"/>
        <v>487.04152136843516</v>
      </c>
      <c r="O274">
        <v>1E-3</v>
      </c>
      <c r="P274">
        <f t="shared" si="64"/>
        <v>4.6129870129870054E-3</v>
      </c>
      <c r="Q274">
        <f t="shared" si="65"/>
        <v>6.5683433618938167E-31</v>
      </c>
      <c r="R274">
        <f t="shared" si="72"/>
        <v>7.7025405802465718E-4</v>
      </c>
      <c r="S274">
        <f t="shared" si="66"/>
        <v>2.5803510943826016E-2</v>
      </c>
      <c r="T274">
        <f t="shared" si="73"/>
        <v>-2.1190523930839009E-2</v>
      </c>
      <c r="U274">
        <f t="shared" si="74"/>
        <v>-2.2965818456669437E-2</v>
      </c>
    </row>
    <row r="275" spans="2:21" x14ac:dyDescent="0.25">
      <c r="B275">
        <v>456</v>
      </c>
      <c r="C275">
        <v>-4.0000000000000002E-4</v>
      </c>
      <c r="D275">
        <v>1.6000000000000001E-3</v>
      </c>
      <c r="E275">
        <f t="shared" si="60"/>
        <v>5.3120809473754707E-31</v>
      </c>
      <c r="F275">
        <f t="shared" si="61"/>
        <v>2.9856450216450215E-2</v>
      </c>
      <c r="G275">
        <f t="shared" si="67"/>
        <v>8.2814962322340553E-4</v>
      </c>
      <c r="H275">
        <f t="shared" si="62"/>
        <v>4.9927843920397706E-31</v>
      </c>
      <c r="I275">
        <f t="shared" si="68"/>
        <v>7.7837151844350084E-4</v>
      </c>
      <c r="J275">
        <f t="shared" si="69"/>
        <v>2.6375118902458024E-2</v>
      </c>
      <c r="K275">
        <f t="shared" si="63"/>
        <v>4.8691948051948035E-2</v>
      </c>
      <c r="L275">
        <f t="shared" si="70"/>
        <v>2.231682914949001E-2</v>
      </c>
      <c r="M275">
        <f t="shared" si="71"/>
        <v>495.92953665533355</v>
      </c>
      <c r="O275">
        <v>8.0000000000000004E-4</v>
      </c>
      <c r="P275">
        <f t="shared" si="64"/>
        <v>4.482597402597396E-3</v>
      </c>
      <c r="Q275">
        <f t="shared" si="65"/>
        <v>4.9360565776400277E-31</v>
      </c>
      <c r="R275">
        <f t="shared" si="72"/>
        <v>7.6952769272118293E-4</v>
      </c>
      <c r="S275">
        <f t="shared" si="66"/>
        <v>2.5779177706159628E-2</v>
      </c>
      <c r="T275">
        <f t="shared" si="73"/>
        <v>-2.1296580303562233E-2</v>
      </c>
      <c r="U275">
        <f t="shared" si="74"/>
        <v>-2.3104272159377985E-2</v>
      </c>
    </row>
    <row r="276" spans="2:21" x14ac:dyDescent="0.25">
      <c r="B276">
        <v>457</v>
      </c>
      <c r="C276">
        <v>-2.0000000000000001E-4</v>
      </c>
      <c r="D276">
        <v>1.6000000000000001E-3</v>
      </c>
      <c r="E276">
        <f t="shared" si="60"/>
        <v>3.9919855976726644E-31</v>
      </c>
      <c r="F276">
        <f t="shared" si="61"/>
        <v>3.0228268398268393E-2</v>
      </c>
      <c r="G276">
        <f t="shared" si="67"/>
        <v>8.3846300893898791E-4</v>
      </c>
      <c r="H276">
        <f t="shared" si="62"/>
        <v>3.7520368350476601E-31</v>
      </c>
      <c r="I276">
        <f t="shared" si="68"/>
        <v>7.880649910656165E-4</v>
      </c>
      <c r="J276">
        <f t="shared" si="69"/>
        <v>2.6703582222258413E-2</v>
      </c>
      <c r="K276">
        <f t="shared" si="63"/>
        <v>4.8967012987012969E-2</v>
      </c>
      <c r="L276">
        <f t="shared" si="70"/>
        <v>2.2263430764754556E-2</v>
      </c>
      <c r="M276">
        <f t="shared" si="71"/>
        <v>494.74290588343456</v>
      </c>
      <c r="O276">
        <v>1E-3</v>
      </c>
      <c r="P276">
        <f t="shared" si="64"/>
        <v>4.752207792207786E-3</v>
      </c>
      <c r="Q276">
        <f t="shared" si="65"/>
        <v>3.7094063442259593E-31</v>
      </c>
      <c r="R276">
        <f t="shared" si="72"/>
        <v>7.7911102849928158E-4</v>
      </c>
      <c r="S276">
        <f t="shared" si="66"/>
        <v>2.6100219454725931E-2</v>
      </c>
      <c r="T276">
        <f t="shared" si="73"/>
        <v>-2.1348011662518145E-2</v>
      </c>
      <c r="U276">
        <f t="shared" si="74"/>
        <v>-2.3151378180511332E-2</v>
      </c>
    </row>
    <row r="277" spans="2:21" x14ac:dyDescent="0.25">
      <c r="B277">
        <v>458</v>
      </c>
      <c r="C277">
        <v>-2.9999999999999997E-4</v>
      </c>
      <c r="D277">
        <v>1.6000000000000001E-3</v>
      </c>
      <c r="E277">
        <f t="shared" si="60"/>
        <v>2.9999446864414211E-31</v>
      </c>
      <c r="F277">
        <f t="shared" si="61"/>
        <v>3.0300086580086566E-2</v>
      </c>
      <c r="G277">
        <f t="shared" si="67"/>
        <v>8.4045508099652073E-4</v>
      </c>
      <c r="H277">
        <f t="shared" si="62"/>
        <v>2.8196251442379769E-31</v>
      </c>
      <c r="I277">
        <f t="shared" si="68"/>
        <v>7.8993732440827433E-4</v>
      </c>
      <c r="J277">
        <f t="shared" si="69"/>
        <v>2.6767026237574373E-2</v>
      </c>
      <c r="K277">
        <f t="shared" si="63"/>
        <v>4.9242077922077902E-2</v>
      </c>
      <c r="L277">
        <f t="shared" si="70"/>
        <v>2.247505168450353E-2</v>
      </c>
      <c r="M277">
        <f t="shared" si="71"/>
        <v>499.44559298896729</v>
      </c>
      <c r="O277">
        <v>8.9999999999999998E-4</v>
      </c>
      <c r="P277">
        <f t="shared" si="64"/>
        <v>4.721818181818176E-3</v>
      </c>
      <c r="Q277">
        <f t="shared" si="65"/>
        <v>2.7875886773490403E-31</v>
      </c>
      <c r="R277">
        <f t="shared" si="72"/>
        <v>7.8096208846620014E-4</v>
      </c>
      <c r="S277">
        <f t="shared" si="66"/>
        <v>2.6162229963617705E-2</v>
      </c>
      <c r="T277">
        <f t="shared" si="73"/>
        <v>-2.1440411781799527E-2</v>
      </c>
      <c r="U277">
        <f t="shared" si="74"/>
        <v>-2.326091986639198E-2</v>
      </c>
    </row>
    <row r="278" spans="2:21" x14ac:dyDescent="0.25">
      <c r="B278">
        <v>459</v>
      </c>
      <c r="C278">
        <v>-2.9999999999999997E-4</v>
      </c>
      <c r="D278">
        <v>1.6000000000000001E-3</v>
      </c>
      <c r="E278">
        <f t="shared" si="60"/>
        <v>2.2544340157326893E-31</v>
      </c>
      <c r="F278">
        <f t="shared" si="61"/>
        <v>3.0471904761904756E-2</v>
      </c>
      <c r="G278">
        <f t="shared" si="67"/>
        <v>8.4522092427340384E-4</v>
      </c>
      <c r="H278">
        <f t="shared" si="62"/>
        <v>2.1189253473622038E-31</v>
      </c>
      <c r="I278">
        <f t="shared" si="68"/>
        <v>7.9441670417741835E-4</v>
      </c>
      <c r="J278">
        <f t="shared" si="69"/>
        <v>2.6918810021051818E-2</v>
      </c>
      <c r="K278">
        <f t="shared" si="63"/>
        <v>4.9517142857142836E-2</v>
      </c>
      <c r="L278">
        <f t="shared" si="70"/>
        <v>2.2598332836091018E-2</v>
      </c>
      <c r="M278">
        <f t="shared" si="71"/>
        <v>502.18517413535591</v>
      </c>
      <c r="O278">
        <v>8.9999999999999998E-4</v>
      </c>
      <c r="P278">
        <f t="shared" si="64"/>
        <v>4.7914285714285593E-3</v>
      </c>
      <c r="Q278">
        <f t="shared" si="65"/>
        <v>2.0948502032354678E-31</v>
      </c>
      <c r="R278">
        <f t="shared" si="72"/>
        <v>7.8539057370351228E-4</v>
      </c>
      <c r="S278">
        <f t="shared" si="66"/>
        <v>2.6310584219067661E-2</v>
      </c>
      <c r="T278">
        <f t="shared" si="73"/>
        <v>-2.15191556476391E-2</v>
      </c>
      <c r="U278">
        <f t="shared" si="74"/>
        <v>-2.3349649664023545E-2</v>
      </c>
    </row>
    <row r="279" spans="2:21" x14ac:dyDescent="0.25">
      <c r="B279">
        <v>460</v>
      </c>
      <c r="C279">
        <v>-2.9999999999999997E-4</v>
      </c>
      <c r="D279">
        <v>1.6000000000000001E-3</v>
      </c>
      <c r="E279">
        <f t="shared" si="60"/>
        <v>1.6941888143016139E-31</v>
      </c>
      <c r="F279">
        <f t="shared" si="61"/>
        <v>3.0643722943722931E-2</v>
      </c>
      <c r="G279">
        <f t="shared" si="67"/>
        <v>8.4998676755028662E-4</v>
      </c>
      <c r="H279">
        <f t="shared" si="62"/>
        <v>1.5923551529071948E-31</v>
      </c>
      <c r="I279">
        <f t="shared" si="68"/>
        <v>7.9889608394656227E-4</v>
      </c>
      <c r="J279">
        <f t="shared" si="69"/>
        <v>2.707059380452926E-2</v>
      </c>
      <c r="K279">
        <f t="shared" si="63"/>
        <v>4.979220779220777E-2</v>
      </c>
      <c r="L279">
        <f t="shared" si="70"/>
        <v>2.272161398767851E-2</v>
      </c>
      <c r="M279">
        <f t="shared" si="71"/>
        <v>504.92475528174464</v>
      </c>
      <c r="O279">
        <v>8.9999999999999998E-4</v>
      </c>
      <c r="P279">
        <f t="shared" si="64"/>
        <v>4.8610389610389496E-3</v>
      </c>
      <c r="Q279">
        <f t="shared" si="65"/>
        <v>1.5742628780401661E-31</v>
      </c>
      <c r="R279">
        <f t="shared" si="72"/>
        <v>7.8981905894082442E-4</v>
      </c>
      <c r="S279">
        <f t="shared" si="66"/>
        <v>2.6458938474517617E-2</v>
      </c>
      <c r="T279">
        <f t="shared" si="73"/>
        <v>-2.1597899513478666E-2</v>
      </c>
      <c r="U279">
        <f t="shared" si="74"/>
        <v>-2.3438379461655098E-2</v>
      </c>
    </row>
    <row r="280" spans="2:21" x14ac:dyDescent="0.25">
      <c r="B280">
        <v>461</v>
      </c>
      <c r="C280">
        <v>-4.0000000000000002E-4</v>
      </c>
      <c r="D280">
        <v>1.5E-3</v>
      </c>
      <c r="E280">
        <f t="shared" si="60"/>
        <v>1.2731691051830724E-31</v>
      </c>
      <c r="F280">
        <f t="shared" si="61"/>
        <v>3.0715541125541122E-2</v>
      </c>
      <c r="G280">
        <f t="shared" si="67"/>
        <v>8.5197883960781988E-4</v>
      </c>
      <c r="H280">
        <f t="shared" si="62"/>
        <v>1.1966419374550207E-31</v>
      </c>
      <c r="I280">
        <f t="shared" si="68"/>
        <v>8.0076841728922053E-4</v>
      </c>
      <c r="J280">
        <f t="shared" si="69"/>
        <v>2.7134037819845237E-2</v>
      </c>
      <c r="K280">
        <f t="shared" si="63"/>
        <v>4.9967272727272735E-2</v>
      </c>
      <c r="L280">
        <f t="shared" si="70"/>
        <v>2.2833234907427499E-2</v>
      </c>
      <c r="M280">
        <f t="shared" si="71"/>
        <v>507.40522016505548</v>
      </c>
      <c r="O280">
        <v>8.9999999999999998E-4</v>
      </c>
      <c r="P280">
        <f t="shared" si="64"/>
        <v>4.9306493506493399E-3</v>
      </c>
      <c r="Q280">
        <f t="shared" si="65"/>
        <v>1.1830457401429301E-31</v>
      </c>
      <c r="R280">
        <f t="shared" si="72"/>
        <v>7.9167011890774331E-4</v>
      </c>
      <c r="S280">
        <f t="shared" si="66"/>
        <v>2.6520948983409402E-2</v>
      </c>
      <c r="T280">
        <f t="shared" si="73"/>
        <v>-2.159029963276006E-2</v>
      </c>
      <c r="U280">
        <f t="shared" si="74"/>
        <v>-2.3439821018956981E-2</v>
      </c>
    </row>
    <row r="281" spans="2:21" x14ac:dyDescent="0.25">
      <c r="B281">
        <v>462</v>
      </c>
      <c r="C281">
        <v>-2.9999999999999997E-4</v>
      </c>
      <c r="D281">
        <v>1.6999999999999999E-3</v>
      </c>
      <c r="E281">
        <f t="shared" si="60"/>
        <v>9.5677622040072744E-32</v>
      </c>
      <c r="F281">
        <f t="shared" si="61"/>
        <v>3.0987359307359297E-2</v>
      </c>
      <c r="G281">
        <f t="shared" si="67"/>
        <v>8.5951845410405241E-4</v>
      </c>
      <c r="H281">
        <f t="shared" si="62"/>
        <v>8.992666766969557E-32</v>
      </c>
      <c r="I281">
        <f t="shared" si="68"/>
        <v>8.0785484348484999E-4</v>
      </c>
      <c r="J281">
        <f t="shared" si="69"/>
        <v>2.737416137148414E-2</v>
      </c>
      <c r="K281">
        <f t="shared" si="63"/>
        <v>5.0442337662337668E-2</v>
      </c>
      <c r="L281">
        <f t="shared" si="70"/>
        <v>2.3068176290853528E-2</v>
      </c>
      <c r="M281">
        <f t="shared" si="71"/>
        <v>512.62613979674506</v>
      </c>
      <c r="O281">
        <v>1E-3</v>
      </c>
      <c r="P281">
        <f t="shared" si="64"/>
        <v>5.1002597402597305E-3</v>
      </c>
      <c r="Q281">
        <f t="shared" si="65"/>
        <v>8.890492450744582E-32</v>
      </c>
      <c r="R281">
        <f t="shared" si="72"/>
        <v>7.986760294154486E-4</v>
      </c>
      <c r="S281">
        <f t="shared" si="66"/>
        <v>2.675564698541753E-2</v>
      </c>
      <c r="T281">
        <f t="shared" si="73"/>
        <v>-2.1655387245157798E-2</v>
      </c>
      <c r="U281">
        <f t="shared" si="74"/>
        <v>-2.3523939185496997E-2</v>
      </c>
    </row>
    <row r="282" spans="2:21" x14ac:dyDescent="0.25">
      <c r="B282">
        <v>463</v>
      </c>
      <c r="C282">
        <v>-4.0000000000000002E-4</v>
      </c>
      <c r="D282">
        <v>1.6000000000000001E-3</v>
      </c>
      <c r="E282">
        <f t="shared" si="60"/>
        <v>7.1900954256400256E-32</v>
      </c>
      <c r="F282">
        <f t="shared" si="61"/>
        <v>3.1059177489177487E-2</v>
      </c>
      <c r="G282">
        <f t="shared" si="67"/>
        <v>8.6151052616158567E-4</v>
      </c>
      <c r="H282">
        <f t="shared" si="62"/>
        <v>6.7579158853270892E-32</v>
      </c>
      <c r="I282">
        <f t="shared" si="68"/>
        <v>8.0972717682750825E-4</v>
      </c>
      <c r="J282">
        <f t="shared" si="69"/>
        <v>2.7437605386800117E-2</v>
      </c>
      <c r="K282">
        <f t="shared" si="63"/>
        <v>5.0617402597402598E-2</v>
      </c>
      <c r="L282">
        <f t="shared" si="70"/>
        <v>2.3179797210602482E-2</v>
      </c>
      <c r="M282">
        <f t="shared" si="71"/>
        <v>515.10660468005517</v>
      </c>
      <c r="O282">
        <v>8.9999999999999998E-4</v>
      </c>
      <c r="P282">
        <f t="shared" si="64"/>
        <v>5.0698701298701205E-3</v>
      </c>
      <c r="Q282">
        <f t="shared" si="65"/>
        <v>6.6811327182664163E-32</v>
      </c>
      <c r="R282">
        <f t="shared" si="72"/>
        <v>8.0052708938236771E-4</v>
      </c>
      <c r="S282">
        <f t="shared" si="66"/>
        <v>2.6817657494309317E-2</v>
      </c>
      <c r="T282">
        <f t="shared" si="73"/>
        <v>-2.1747787364439199E-2</v>
      </c>
      <c r="U282">
        <f t="shared" si="74"/>
        <v>-2.3625380742798879E-2</v>
      </c>
    </row>
    <row r="283" spans="2:21" x14ac:dyDescent="0.25">
      <c r="B283">
        <v>464</v>
      </c>
      <c r="C283">
        <v>-5.0000000000000001E-4</v>
      </c>
      <c r="D283">
        <v>1.5E-3</v>
      </c>
      <c r="E283">
        <f t="shared" si="60"/>
        <v>5.403298193192669E-32</v>
      </c>
      <c r="F283">
        <f t="shared" si="61"/>
        <v>3.1130995670995663E-2</v>
      </c>
      <c r="G283">
        <f t="shared" si="67"/>
        <v>8.635025982191186E-4</v>
      </c>
      <c r="H283">
        <f t="shared" si="62"/>
        <v>5.0785187860960159E-32</v>
      </c>
      <c r="I283">
        <f t="shared" si="68"/>
        <v>8.1159951017016607E-4</v>
      </c>
      <c r="J283">
        <f t="shared" si="69"/>
        <v>2.7501049402116076E-2</v>
      </c>
      <c r="K283">
        <f t="shared" si="63"/>
        <v>5.0792467532467536E-2</v>
      </c>
      <c r="L283">
        <f t="shared" si="70"/>
        <v>2.329141813035146E-2</v>
      </c>
      <c r="M283">
        <f t="shared" si="71"/>
        <v>517.58706956336573</v>
      </c>
      <c r="O283">
        <v>1E-3</v>
      </c>
      <c r="P283">
        <f t="shared" si="64"/>
        <v>5.239480519480511E-3</v>
      </c>
      <c r="Q283">
        <f t="shared" si="65"/>
        <v>5.0208168609773217E-32</v>
      </c>
      <c r="R283">
        <f t="shared" si="72"/>
        <v>8.0237814934928627E-4</v>
      </c>
      <c r="S283">
        <f t="shared" si="66"/>
        <v>2.6879668003201091E-2</v>
      </c>
      <c r="T283">
        <f t="shared" si="73"/>
        <v>-2.1640187483720579E-2</v>
      </c>
      <c r="U283">
        <f t="shared" si="74"/>
        <v>-2.3526822300100746E-2</v>
      </c>
    </row>
    <row r="284" spans="2:21" x14ac:dyDescent="0.25">
      <c r="B284">
        <v>465</v>
      </c>
      <c r="C284">
        <v>-2.9999999999999997E-4</v>
      </c>
      <c r="D284">
        <v>1.6000000000000001E-3</v>
      </c>
      <c r="E284">
        <f t="shared" si="60"/>
        <v>4.0605346154998922E-32</v>
      </c>
      <c r="F284">
        <f t="shared" si="61"/>
        <v>3.1502813852813852E-2</v>
      </c>
      <c r="G284">
        <f t="shared" si="67"/>
        <v>8.738159839347013E-4</v>
      </c>
      <c r="H284">
        <f t="shared" si="62"/>
        <v>3.8164655344006945E-32</v>
      </c>
      <c r="I284">
        <f t="shared" si="68"/>
        <v>8.2129298279228196E-4</v>
      </c>
      <c r="J284">
        <f t="shared" si="69"/>
        <v>2.7829512721916472E-2</v>
      </c>
      <c r="K284">
        <f t="shared" si="63"/>
        <v>5.1167532467532466E-2</v>
      </c>
      <c r="L284">
        <f t="shared" si="70"/>
        <v>2.3338019745615994E-2</v>
      </c>
      <c r="M284">
        <f t="shared" si="71"/>
        <v>518.62266101368868</v>
      </c>
      <c r="O284">
        <v>1E-3</v>
      </c>
      <c r="P284">
        <f t="shared" si="64"/>
        <v>5.3090909090909013E-3</v>
      </c>
      <c r="Q284">
        <f t="shared" si="65"/>
        <v>3.7731030073018525E-32</v>
      </c>
      <c r="R284">
        <f t="shared" si="72"/>
        <v>8.1196148512738524E-4</v>
      </c>
      <c r="S284">
        <f t="shared" si="66"/>
        <v>2.7200709751767405E-2</v>
      </c>
      <c r="T284">
        <f t="shared" si="73"/>
        <v>-2.1891618842676503E-2</v>
      </c>
      <c r="U284">
        <f t="shared" si="74"/>
        <v>-2.3782028449812889E-2</v>
      </c>
    </row>
    <row r="285" spans="2:21" x14ac:dyDescent="0.25">
      <c r="B285">
        <v>466</v>
      </c>
      <c r="C285">
        <v>-2.9999999999999997E-4</v>
      </c>
      <c r="D285">
        <v>1.8E-3</v>
      </c>
      <c r="E285">
        <f t="shared" si="60"/>
        <v>3.0514587154278064E-32</v>
      </c>
      <c r="F285">
        <f t="shared" si="61"/>
        <v>3.1674632034632028E-2</v>
      </c>
      <c r="G285">
        <f t="shared" si="67"/>
        <v>8.7858182721158409E-4</v>
      </c>
      <c r="H285">
        <f t="shared" si="62"/>
        <v>2.8680427874256972E-32</v>
      </c>
      <c r="I285">
        <f t="shared" si="68"/>
        <v>8.2577236256142598E-4</v>
      </c>
      <c r="J285">
        <f t="shared" si="69"/>
        <v>2.7981296505393917E-2</v>
      </c>
      <c r="K285">
        <f t="shared" si="63"/>
        <v>5.1642597402597405E-2</v>
      </c>
      <c r="L285">
        <f t="shared" si="70"/>
        <v>2.3661300897203488E-2</v>
      </c>
      <c r="M285">
        <f t="shared" si="71"/>
        <v>525.80668660452193</v>
      </c>
      <c r="O285">
        <v>8.0000000000000004E-4</v>
      </c>
      <c r="P285">
        <f t="shared" si="64"/>
        <v>5.178701298701292E-3</v>
      </c>
      <c r="Q285">
        <f t="shared" si="65"/>
        <v>2.8354562012324288E-32</v>
      </c>
      <c r="R285">
        <f t="shared" si="72"/>
        <v>8.1638997036469739E-4</v>
      </c>
      <c r="S285">
        <f t="shared" si="66"/>
        <v>2.7349064007217361E-2</v>
      </c>
      <c r="T285">
        <f t="shared" si="73"/>
        <v>-2.2170362708516071E-2</v>
      </c>
      <c r="U285">
        <f t="shared" si="74"/>
        <v>-2.4086958504602008E-2</v>
      </c>
    </row>
    <row r="286" spans="2:21" x14ac:dyDescent="0.25">
      <c r="B286">
        <v>467</v>
      </c>
      <c r="C286">
        <v>-5.0000000000000001E-4</v>
      </c>
      <c r="D286">
        <v>1.6000000000000001E-3</v>
      </c>
      <c r="E286">
        <f t="shared" si="60"/>
        <v>2.2931463892505182E-32</v>
      </c>
      <c r="F286">
        <f t="shared" si="61"/>
        <v>3.1646450216450205E-2</v>
      </c>
      <c r="G286">
        <f t="shared" si="67"/>
        <v>8.7780012804976717E-4</v>
      </c>
      <c r="H286">
        <f t="shared" si="62"/>
        <v>2.1553108121533842E-32</v>
      </c>
      <c r="I286">
        <f t="shared" si="68"/>
        <v>8.2503764947759793E-4</v>
      </c>
      <c r="J286">
        <f t="shared" si="69"/>
        <v>2.7956400752548405E-2</v>
      </c>
      <c r="K286">
        <f t="shared" si="63"/>
        <v>5.1717662337662333E-2</v>
      </c>
      <c r="L286">
        <f t="shared" si="70"/>
        <v>2.3761261585113928E-2</v>
      </c>
      <c r="M286">
        <f t="shared" si="71"/>
        <v>528.02803522475392</v>
      </c>
      <c r="O286">
        <v>8.9999999999999998E-4</v>
      </c>
      <c r="P286">
        <f t="shared" si="64"/>
        <v>5.3483116883116816E-3</v>
      </c>
      <c r="Q286">
        <f t="shared" si="65"/>
        <v>2.1308222578467869E-32</v>
      </c>
      <c r="R286">
        <f t="shared" si="72"/>
        <v>8.156636050612227E-4</v>
      </c>
      <c r="S286">
        <f t="shared" si="66"/>
        <v>2.732473076955096E-2</v>
      </c>
      <c r="T286">
        <f t="shared" si="73"/>
        <v>-2.1976419081239276E-2</v>
      </c>
      <c r="U286">
        <f t="shared" si="74"/>
        <v>-2.3901111821574193E-2</v>
      </c>
    </row>
    <row r="287" spans="2:21" x14ac:dyDescent="0.25">
      <c r="B287">
        <v>468</v>
      </c>
      <c r="C287">
        <v>-6.9999999999999999E-4</v>
      </c>
      <c r="D287">
        <v>1.4E-3</v>
      </c>
      <c r="E287">
        <f t="shared" si="60"/>
        <v>1.7232808479256726E-32</v>
      </c>
      <c r="F287">
        <f t="shared" si="61"/>
        <v>3.1618268398268395E-2</v>
      </c>
      <c r="G287">
        <f t="shared" si="67"/>
        <v>8.7701842888795057E-4</v>
      </c>
      <c r="H287">
        <f t="shared" si="62"/>
        <v>1.6196985335615614E-32</v>
      </c>
      <c r="I287">
        <f t="shared" si="68"/>
        <v>8.243029363937702E-4</v>
      </c>
      <c r="J287">
        <f t="shared" si="69"/>
        <v>2.7931504999702903E-2</v>
      </c>
      <c r="K287">
        <f t="shared" si="63"/>
        <v>5.1792727272727268E-2</v>
      </c>
      <c r="L287">
        <f t="shared" si="70"/>
        <v>2.3861222273024365E-2</v>
      </c>
      <c r="M287">
        <f t="shared" si="71"/>
        <v>530.2493838449858</v>
      </c>
      <c r="O287">
        <v>5.0000000000000001E-4</v>
      </c>
      <c r="P287">
        <f t="shared" si="64"/>
        <v>5.0179220779220726E-3</v>
      </c>
      <c r="Q287">
        <f t="shared" si="65"/>
        <v>1.6012955843090545E-32</v>
      </c>
      <c r="R287">
        <f t="shared" si="72"/>
        <v>8.1493723975774833E-4</v>
      </c>
      <c r="S287">
        <f t="shared" si="66"/>
        <v>2.7300397531884568E-2</v>
      </c>
      <c r="T287">
        <f t="shared" si="73"/>
        <v>-2.2282475453962496E-2</v>
      </c>
      <c r="U287">
        <f t="shared" si="74"/>
        <v>-2.4215265138546393E-2</v>
      </c>
    </row>
    <row r="288" spans="2:21" x14ac:dyDescent="0.25">
      <c r="B288">
        <v>469</v>
      </c>
      <c r="C288">
        <v>-2.0000000000000001E-4</v>
      </c>
      <c r="D288">
        <v>1.5E-3</v>
      </c>
      <c r="E288">
        <f t="shared" si="60"/>
        <v>1.2950315316755989E-32</v>
      </c>
      <c r="F288">
        <f t="shared" si="61"/>
        <v>3.2290086580086572E-2</v>
      </c>
      <c r="G288">
        <f t="shared" si="67"/>
        <v>8.9565312826158251E-4</v>
      </c>
      <c r="H288">
        <f t="shared" si="62"/>
        <v>1.2171902654728631E-32</v>
      </c>
      <c r="I288">
        <f t="shared" si="68"/>
        <v>8.4181754829534329E-4</v>
      </c>
      <c r="J288">
        <f t="shared" si="69"/>
        <v>2.8524987623987707E-2</v>
      </c>
      <c r="K288">
        <f t="shared" si="63"/>
        <v>5.2167792207792205E-2</v>
      </c>
      <c r="L288">
        <f t="shared" si="70"/>
        <v>2.3642804583804498E-2</v>
      </c>
      <c r="M288">
        <f t="shared" si="71"/>
        <v>525.39565741787771</v>
      </c>
      <c r="O288">
        <v>8.0000000000000004E-4</v>
      </c>
      <c r="P288">
        <f t="shared" si="64"/>
        <v>5.3875324675324559E-3</v>
      </c>
      <c r="Q288">
        <f t="shared" si="65"/>
        <v>1.2033605988886208E-32</v>
      </c>
      <c r="R288">
        <f t="shared" si="72"/>
        <v>8.3225285134702674E-4</v>
      </c>
      <c r="S288">
        <f t="shared" si="66"/>
        <v>2.7880470520125395E-2</v>
      </c>
      <c r="T288">
        <f t="shared" si="73"/>
        <v>-2.2492938052592941E-2</v>
      </c>
      <c r="U288">
        <f t="shared" si="74"/>
        <v>-2.4408035623511227E-2</v>
      </c>
    </row>
    <row r="289" spans="2:21" x14ac:dyDescent="0.25">
      <c r="B289">
        <v>470</v>
      </c>
      <c r="C289">
        <v>-8.0000000000000004E-4</v>
      </c>
      <c r="D289">
        <v>1.4E-3</v>
      </c>
      <c r="E289">
        <f t="shared" si="60"/>
        <v>9.7320565597464562E-33</v>
      </c>
      <c r="F289">
        <f t="shared" si="61"/>
        <v>3.1861904761904758E-2</v>
      </c>
      <c r="G289">
        <f t="shared" si="67"/>
        <v>8.837763442223665E-4</v>
      </c>
      <c r="H289">
        <f t="shared" si="62"/>
        <v>9.1470857796241145E-33</v>
      </c>
      <c r="I289">
        <f t="shared" si="68"/>
        <v>8.3065464950557194E-4</v>
      </c>
      <c r="J289">
        <f t="shared" si="69"/>
        <v>2.8146732798496304E-2</v>
      </c>
      <c r="K289">
        <f t="shared" si="63"/>
        <v>5.2342857142857135E-2</v>
      </c>
      <c r="L289">
        <f t="shared" si="70"/>
        <v>2.4196124344360831E-2</v>
      </c>
      <c r="M289">
        <f t="shared" si="71"/>
        <v>537.69165209690732</v>
      </c>
      <c r="O289">
        <v>6.9999999999999999E-4</v>
      </c>
      <c r="P289">
        <f t="shared" si="64"/>
        <v>5.3571428571428459E-3</v>
      </c>
      <c r="Q289">
        <f t="shared" si="65"/>
        <v>9.0431569608206542E-33</v>
      </c>
      <c r="R289">
        <f t="shared" si="72"/>
        <v>8.2121678496197914E-4</v>
      </c>
      <c r="S289">
        <f t="shared" si="66"/>
        <v>2.7510762296226302E-2</v>
      </c>
      <c r="T289">
        <f t="shared" si="73"/>
        <v>-2.2153619439083456E-2</v>
      </c>
      <c r="U289">
        <f t="shared" si="74"/>
        <v>-2.4113536622058611E-2</v>
      </c>
    </row>
    <row r="290" spans="2:21" x14ac:dyDescent="0.25">
      <c r="B290">
        <v>471</v>
      </c>
      <c r="C290">
        <v>-4.0000000000000002E-4</v>
      </c>
      <c r="D290">
        <v>1.2999999999999999E-3</v>
      </c>
      <c r="E290">
        <f t="shared" si="60"/>
        <v>7.313561296809355E-33</v>
      </c>
      <c r="F290">
        <f t="shared" si="61"/>
        <v>3.2433722943722938E-2</v>
      </c>
      <c r="G290">
        <f t="shared" si="67"/>
        <v>8.9963727237664869E-4</v>
      </c>
      <c r="H290">
        <f t="shared" si="62"/>
        <v>6.873960516542357E-33</v>
      </c>
      <c r="I290">
        <f t="shared" si="68"/>
        <v>8.455622149806598E-4</v>
      </c>
      <c r="J290">
        <f t="shared" si="69"/>
        <v>2.8651875654619657E-2</v>
      </c>
      <c r="K290">
        <f t="shared" si="63"/>
        <v>5.2517922077922073E-2</v>
      </c>
      <c r="L290">
        <f t="shared" si="70"/>
        <v>2.3866046423302416E-2</v>
      </c>
      <c r="M290">
        <f t="shared" si="71"/>
        <v>530.35658718449804</v>
      </c>
      <c r="O290">
        <v>6.9999999999999999E-4</v>
      </c>
      <c r="P290">
        <f t="shared" si="64"/>
        <v>5.4267532467532362E-3</v>
      </c>
      <c r="Q290">
        <f t="shared" si="65"/>
        <v>6.7958588550736002E-33</v>
      </c>
      <c r="R290">
        <f t="shared" si="72"/>
        <v>8.3595497128086474E-4</v>
      </c>
      <c r="S290">
        <f t="shared" si="66"/>
        <v>2.800449153790897E-2</v>
      </c>
      <c r="T290">
        <f t="shared" si="73"/>
        <v>-2.2577738291155735E-2</v>
      </c>
      <c r="U290">
        <f t="shared" si="74"/>
        <v>-2.4510918738114989E-2</v>
      </c>
    </row>
    <row r="291" spans="2:21" x14ac:dyDescent="0.25">
      <c r="B291">
        <v>472</v>
      </c>
      <c r="C291">
        <v>-2.0000000000000001E-4</v>
      </c>
      <c r="D291">
        <v>1.6999999999999999E-3</v>
      </c>
      <c r="E291">
        <f t="shared" si="60"/>
        <v>5.4960817905049774E-33</v>
      </c>
      <c r="F291">
        <f t="shared" si="61"/>
        <v>3.2805541125541127E-2</v>
      </c>
      <c r="G291">
        <f t="shared" si="67"/>
        <v>9.099506580922314E-4</v>
      </c>
      <c r="H291">
        <f t="shared" si="62"/>
        <v>5.1657253819832775E-33</v>
      </c>
      <c r="I291">
        <f t="shared" si="68"/>
        <v>8.5525568760277536E-4</v>
      </c>
      <c r="J291">
        <f t="shared" si="69"/>
        <v>2.8980338974420043E-2</v>
      </c>
      <c r="K291">
        <f t="shared" si="63"/>
        <v>5.3192987012987004E-2</v>
      </c>
      <c r="L291">
        <f t="shared" si="70"/>
        <v>2.4212648038566962E-2</v>
      </c>
      <c r="M291">
        <f t="shared" si="71"/>
        <v>538.05884530148796</v>
      </c>
      <c r="O291">
        <v>6.9999999999999999E-4</v>
      </c>
      <c r="P291">
        <f t="shared" si="64"/>
        <v>5.4963636363636265E-3</v>
      </c>
      <c r="Q291">
        <f t="shared" si="65"/>
        <v>5.1070326190479512E-33</v>
      </c>
      <c r="R291">
        <f t="shared" si="72"/>
        <v>8.455383070589635E-4</v>
      </c>
      <c r="S291">
        <f t="shared" si="66"/>
        <v>2.8325533286475277E-2</v>
      </c>
      <c r="T291">
        <f t="shared" si="73"/>
        <v>-2.2829169650111652E-2</v>
      </c>
      <c r="U291">
        <f t="shared" si="74"/>
        <v>-2.4790425273563468E-2</v>
      </c>
    </row>
    <row r="292" spans="2:21" x14ac:dyDescent="0.25">
      <c r="B292">
        <v>473</v>
      </c>
      <c r="C292">
        <v>-8.9999999999999998E-4</v>
      </c>
      <c r="D292">
        <v>1.1999999999999999E-3</v>
      </c>
      <c r="E292">
        <f t="shared" si="60"/>
        <v>4.1302607337274947E-33</v>
      </c>
      <c r="F292">
        <f t="shared" si="61"/>
        <v>3.2277359307359303E-2</v>
      </c>
      <c r="G292">
        <f t="shared" si="67"/>
        <v>8.9530010283366533E-4</v>
      </c>
      <c r="H292">
        <f t="shared" si="62"/>
        <v>3.8820005814478015E-33</v>
      </c>
      <c r="I292">
        <f t="shared" si="68"/>
        <v>8.4148574238651793E-4</v>
      </c>
      <c r="J292">
        <f t="shared" si="69"/>
        <v>2.8513744380767158E-2</v>
      </c>
      <c r="K292">
        <f t="shared" si="63"/>
        <v>5.2968051948051938E-2</v>
      </c>
      <c r="L292">
        <f t="shared" si="70"/>
        <v>2.445430756728478E-2</v>
      </c>
      <c r="M292">
        <f t="shared" si="71"/>
        <v>543.42905705077283</v>
      </c>
      <c r="O292">
        <v>6.9999999999999999E-4</v>
      </c>
      <c r="P292">
        <f t="shared" si="64"/>
        <v>5.5659740259740168E-3</v>
      </c>
      <c r="Q292">
        <f t="shared" si="65"/>
        <v>3.8378934477940498E-33</v>
      </c>
      <c r="R292">
        <f t="shared" si="72"/>
        <v>8.3192481540352243E-4</v>
      </c>
      <c r="S292">
        <f t="shared" si="66"/>
        <v>2.7869481316018001E-2</v>
      </c>
      <c r="T292">
        <f t="shared" si="73"/>
        <v>-2.2303507290043986E-2</v>
      </c>
      <c r="U292">
        <f t="shared" si="74"/>
        <v>-2.4284337646044825E-2</v>
      </c>
    </row>
    <row r="293" spans="2:21" x14ac:dyDescent="0.25">
      <c r="B293">
        <v>474</v>
      </c>
      <c r="C293">
        <v>-5.0000000000000001E-4</v>
      </c>
      <c r="D293">
        <v>1.4E-3</v>
      </c>
      <c r="E293">
        <f t="shared" si="60"/>
        <v>3.1038573257847768E-33</v>
      </c>
      <c r="F293">
        <f t="shared" si="61"/>
        <v>3.2849177489177477E-2</v>
      </c>
      <c r="G293">
        <f t="shared" si="67"/>
        <v>9.111610309879473E-4</v>
      </c>
      <c r="H293">
        <f t="shared" si="62"/>
        <v>2.9172918419010632E-33</v>
      </c>
      <c r="I293">
        <f t="shared" si="68"/>
        <v>8.5639330786160513E-4</v>
      </c>
      <c r="J293">
        <f t="shared" si="69"/>
        <v>2.9018887236890487E-2</v>
      </c>
      <c r="K293">
        <f t="shared" si="63"/>
        <v>5.344311688311687E-2</v>
      </c>
      <c r="L293">
        <f t="shared" si="70"/>
        <v>2.4424229646226384E-2</v>
      </c>
      <c r="M293">
        <f t="shared" si="71"/>
        <v>542.76065880503074</v>
      </c>
      <c r="O293">
        <v>6.9999999999999999E-4</v>
      </c>
      <c r="P293">
        <f t="shared" si="64"/>
        <v>5.6355844155844071E-3</v>
      </c>
      <c r="Q293">
        <f t="shared" si="65"/>
        <v>2.8841456899420286E-33</v>
      </c>
      <c r="R293">
        <f t="shared" si="72"/>
        <v>8.4666300172240748E-4</v>
      </c>
      <c r="S293">
        <f t="shared" si="66"/>
        <v>2.8363210557700649E-2</v>
      </c>
      <c r="T293">
        <f t="shared" si="73"/>
        <v>-2.2727626142116243E-2</v>
      </c>
      <c r="U293">
        <f t="shared" si="74"/>
        <v>-2.4706020147837529E-2</v>
      </c>
    </row>
    <row r="294" spans="2:21" x14ac:dyDescent="0.25">
      <c r="B294">
        <v>475</v>
      </c>
      <c r="C294">
        <v>-5.9999999999999995E-4</v>
      </c>
      <c r="D294">
        <v>1.1000000000000001E-3</v>
      </c>
      <c r="E294">
        <f t="shared" si="60"/>
        <v>2.3325235184688251E-33</v>
      </c>
      <c r="F294">
        <f t="shared" si="61"/>
        <v>3.2920995670995663E-2</v>
      </c>
      <c r="G294">
        <f t="shared" si="67"/>
        <v>9.1315310304548056E-4</v>
      </c>
      <c r="H294">
        <f t="shared" si="62"/>
        <v>2.1923210757604609E-33</v>
      </c>
      <c r="I294">
        <f t="shared" si="68"/>
        <v>8.582656412042635E-4</v>
      </c>
      <c r="J294">
        <f t="shared" si="69"/>
        <v>2.9082331252206467E-2</v>
      </c>
      <c r="K294">
        <f t="shared" si="63"/>
        <v>5.3418181818181802E-2</v>
      </c>
      <c r="L294">
        <f t="shared" si="70"/>
        <v>2.4335850565975335E-2</v>
      </c>
      <c r="M294">
        <f t="shared" si="71"/>
        <v>540.79667924389628</v>
      </c>
      <c r="O294">
        <v>4.0000000000000002E-4</v>
      </c>
      <c r="P294">
        <f t="shared" si="64"/>
        <v>5.4051948051947974E-3</v>
      </c>
      <c r="Q294">
        <f t="shared" si="65"/>
        <v>2.1674120123351169E-33</v>
      </c>
      <c r="R294">
        <f t="shared" si="72"/>
        <v>8.4851406168932647E-4</v>
      </c>
      <c r="S294">
        <f t="shared" si="66"/>
        <v>2.8425221066592437E-2</v>
      </c>
      <c r="T294">
        <f t="shared" si="73"/>
        <v>-2.3020026261397639E-2</v>
      </c>
      <c r="U294">
        <f t="shared" si="74"/>
        <v>-2.4991261447981843E-2</v>
      </c>
    </row>
    <row r="295" spans="2:21" x14ac:dyDescent="0.25">
      <c r="B295">
        <v>476</v>
      </c>
      <c r="C295">
        <v>-4.0000000000000002E-4</v>
      </c>
      <c r="D295">
        <v>1.6000000000000001E-3</v>
      </c>
      <c r="E295">
        <f t="shared" si="60"/>
        <v>1.7528724400483363E-33</v>
      </c>
      <c r="F295">
        <f t="shared" si="61"/>
        <v>3.3292813852813845E-2</v>
      </c>
      <c r="G295">
        <f t="shared" si="67"/>
        <v>9.2346648876106305E-4</v>
      </c>
      <c r="H295">
        <f t="shared" si="62"/>
        <v>1.6475114454409706E-33</v>
      </c>
      <c r="I295">
        <f t="shared" si="68"/>
        <v>8.6795911382637906E-4</v>
      </c>
      <c r="J295">
        <f t="shared" si="69"/>
        <v>2.9410794572006852E-2</v>
      </c>
      <c r="K295">
        <f t="shared" si="63"/>
        <v>5.4193246753246736E-2</v>
      </c>
      <c r="L295">
        <f t="shared" si="70"/>
        <v>2.4782452181239884E-2</v>
      </c>
      <c r="M295">
        <f t="shared" si="71"/>
        <v>550.72115958310849</v>
      </c>
      <c r="O295">
        <v>8.9999999999999998E-4</v>
      </c>
      <c r="P295">
        <f t="shared" si="64"/>
        <v>5.9748051948051873E-3</v>
      </c>
      <c r="Q295">
        <f t="shared" si="65"/>
        <v>1.6287924870081903E-33</v>
      </c>
      <c r="R295">
        <f t="shared" si="72"/>
        <v>8.5809739746742534E-4</v>
      </c>
      <c r="S295">
        <f t="shared" si="66"/>
        <v>2.8746262815158748E-2</v>
      </c>
      <c r="T295">
        <f t="shared" si="73"/>
        <v>-2.2771457620353562E-2</v>
      </c>
      <c r="U295">
        <f t="shared" si="74"/>
        <v>-2.4778868112009113E-2</v>
      </c>
    </row>
    <row r="296" spans="2:21" x14ac:dyDescent="0.25">
      <c r="B296">
        <v>477</v>
      </c>
      <c r="C296">
        <v>-5.9999999999999995E-4</v>
      </c>
      <c r="D296">
        <v>1.1999999999999999E-3</v>
      </c>
      <c r="E296">
        <f t="shared" si="60"/>
        <v>1.3172693723139725E-33</v>
      </c>
      <c r="F296">
        <f t="shared" si="61"/>
        <v>3.3264632034632029E-2</v>
      </c>
      <c r="G296">
        <f t="shared" si="67"/>
        <v>9.2268478959924634E-4</v>
      </c>
      <c r="H296">
        <f t="shared" si="62"/>
        <v>1.2380914423848597E-33</v>
      </c>
      <c r="I296">
        <f t="shared" si="68"/>
        <v>8.6722440074255144E-4</v>
      </c>
      <c r="J296">
        <f t="shared" si="69"/>
        <v>2.9385898819161354E-2</v>
      </c>
      <c r="K296">
        <f t="shared" si="63"/>
        <v>5.4068311688311672E-2</v>
      </c>
      <c r="L296">
        <f t="shared" si="70"/>
        <v>2.4682412869150318E-2</v>
      </c>
      <c r="M296">
        <f t="shared" si="71"/>
        <v>548.49806375889591</v>
      </c>
      <c r="O296">
        <v>5.9999999999999995E-4</v>
      </c>
      <c r="P296">
        <f t="shared" si="64"/>
        <v>5.7444155844155777E-3</v>
      </c>
      <c r="Q296">
        <f t="shared" si="65"/>
        <v>1.2240242974735958E-33</v>
      </c>
      <c r="R296">
        <f t="shared" si="72"/>
        <v>8.5737103216395065E-4</v>
      </c>
      <c r="S296">
        <f t="shared" si="66"/>
        <v>2.8721929577492346E-2</v>
      </c>
      <c r="T296">
        <f t="shared" si="73"/>
        <v>-2.2977513993076768E-2</v>
      </c>
      <c r="U296">
        <f t="shared" si="74"/>
        <v>-2.4976821171823732E-2</v>
      </c>
    </row>
    <row r="297" spans="2:21" x14ac:dyDescent="0.25">
      <c r="B297">
        <v>478</v>
      </c>
      <c r="C297">
        <v>-2.9999999999999997E-4</v>
      </c>
      <c r="D297">
        <v>1.2999999999999999E-3</v>
      </c>
      <c r="E297">
        <f t="shared" si="60"/>
        <v>9.8991721222371064E-34</v>
      </c>
      <c r="F297">
        <f t="shared" si="61"/>
        <v>3.3736450216450206E-2</v>
      </c>
      <c r="G297">
        <f t="shared" si="67"/>
        <v>9.3577194653417857E-4</v>
      </c>
      <c r="H297">
        <f t="shared" si="62"/>
        <v>9.3041564230002313E-34</v>
      </c>
      <c r="I297">
        <f t="shared" si="68"/>
        <v>8.7952491979115277E-4</v>
      </c>
      <c r="J297">
        <f t="shared" si="69"/>
        <v>2.9802701907123211E-2</v>
      </c>
      <c r="K297">
        <f t="shared" si="63"/>
        <v>5.4443376623376609E-2</v>
      </c>
      <c r="L297">
        <f t="shared" si="70"/>
        <v>2.4640674716253398E-2</v>
      </c>
      <c r="M297">
        <f t="shared" si="71"/>
        <v>547.57054925007549</v>
      </c>
      <c r="O297">
        <v>6.9999999999999999E-4</v>
      </c>
      <c r="P297">
        <f t="shared" si="64"/>
        <v>5.9140259740259682E-3</v>
      </c>
      <c r="Q297">
        <f t="shared" si="65"/>
        <v>9.1984429738972341E-34</v>
      </c>
      <c r="R297">
        <f t="shared" si="72"/>
        <v>8.6953179321244266E-4</v>
      </c>
      <c r="S297">
        <f t="shared" si="66"/>
        <v>2.9129315072616829E-2</v>
      </c>
      <c r="T297">
        <f t="shared" si="73"/>
        <v>-2.3215289098590861E-2</v>
      </c>
      <c r="U297">
        <f t="shared" si="74"/>
        <v>-2.521121543328677E-2</v>
      </c>
    </row>
    <row r="298" spans="2:21" x14ac:dyDescent="0.25">
      <c r="B298">
        <v>479</v>
      </c>
      <c r="C298">
        <v>-6.9999999999999999E-4</v>
      </c>
      <c r="D298">
        <v>1.1999999999999999E-3</v>
      </c>
      <c r="E298">
        <f t="shared" si="60"/>
        <v>7.4391472818910145E-34</v>
      </c>
      <c r="F298">
        <f t="shared" si="61"/>
        <v>3.3508268398268398E-2</v>
      </c>
      <c r="G298">
        <f t="shared" si="67"/>
        <v>9.2944270493366249E-4</v>
      </c>
      <c r="H298">
        <f t="shared" si="62"/>
        <v>6.9919978266636257E-34</v>
      </c>
      <c r="I298">
        <f t="shared" si="68"/>
        <v>8.7357611385435361E-4</v>
      </c>
      <c r="J298">
        <f t="shared" si="69"/>
        <v>2.9601126617954769E-2</v>
      </c>
      <c r="K298">
        <f t="shared" si="63"/>
        <v>5.461844155844154E-2</v>
      </c>
      <c r="L298">
        <f t="shared" si="70"/>
        <v>2.5017314940486771E-2</v>
      </c>
      <c r="M298">
        <f t="shared" si="71"/>
        <v>555.94033201081709</v>
      </c>
      <c r="O298">
        <v>4.0000000000000002E-4</v>
      </c>
      <c r="P298">
        <f t="shared" si="64"/>
        <v>5.6836363636363517E-3</v>
      </c>
      <c r="Q298">
        <f t="shared" si="65"/>
        <v>6.9125550300496228E-34</v>
      </c>
      <c r="R298">
        <f t="shared" si="72"/>
        <v>8.63650577368182E-4</v>
      </c>
      <c r="S298">
        <f t="shared" si="66"/>
        <v>2.8932294341834097E-2</v>
      </c>
      <c r="T298">
        <f t="shared" si="73"/>
        <v>-2.3248657978197744E-2</v>
      </c>
      <c r="U298">
        <f t="shared" si="74"/>
        <v>-2.5275092655335965E-2</v>
      </c>
    </row>
    <row r="299" spans="2:21" x14ac:dyDescent="0.25">
      <c r="B299">
        <v>480</v>
      </c>
      <c r="C299">
        <v>-5.0000000000000001E-4</v>
      </c>
      <c r="D299">
        <v>1.1000000000000001E-3</v>
      </c>
      <c r="E299">
        <f t="shared" si="60"/>
        <v>5.5904586361672441E-34</v>
      </c>
      <c r="F299">
        <f t="shared" si="61"/>
        <v>3.3880086580086573E-2</v>
      </c>
      <c r="G299">
        <f t="shared" si="67"/>
        <v>9.3975609064924476E-4</v>
      </c>
      <c r="H299">
        <f t="shared" si="62"/>
        <v>5.2544294598504119E-34</v>
      </c>
      <c r="I299">
        <f t="shared" si="68"/>
        <v>8.8326958647646885E-4</v>
      </c>
      <c r="J299">
        <f t="shared" si="69"/>
        <v>2.9929589937755144E-2</v>
      </c>
      <c r="K299">
        <f t="shared" si="63"/>
        <v>5.4793506493506471E-2</v>
      </c>
      <c r="L299">
        <f t="shared" si="70"/>
        <v>2.4863916555751327E-2</v>
      </c>
      <c r="M299">
        <f t="shared" si="71"/>
        <v>552.53147901669615</v>
      </c>
      <c r="O299">
        <v>5.0000000000000001E-4</v>
      </c>
      <c r="P299">
        <f t="shared" si="64"/>
        <v>5.8532467532467422E-3</v>
      </c>
      <c r="Q299">
        <f t="shared" si="65"/>
        <v>5.1947288447687411E-34</v>
      </c>
      <c r="R299">
        <f t="shared" si="72"/>
        <v>8.7323391314628022E-4</v>
      </c>
      <c r="S299">
        <f t="shared" si="66"/>
        <v>2.9253336090400386E-2</v>
      </c>
      <c r="T299">
        <f t="shared" si="73"/>
        <v>-2.3400089337153644E-2</v>
      </c>
      <c r="U299">
        <f t="shared" si="74"/>
        <v>-2.5414098547890521E-2</v>
      </c>
    </row>
    <row r="300" spans="2:21" x14ac:dyDescent="0.25">
      <c r="B300">
        <v>481</v>
      </c>
      <c r="C300">
        <v>-5.0000000000000001E-4</v>
      </c>
      <c r="D300">
        <v>1.2999999999999999E-3</v>
      </c>
      <c r="E300">
        <f t="shared" si="60"/>
        <v>4.2011841651228088E-34</v>
      </c>
      <c r="F300">
        <f t="shared" si="61"/>
        <v>3.4051904761904749E-2</v>
      </c>
      <c r="G300">
        <f t="shared" si="67"/>
        <v>9.4452193392612755E-4</v>
      </c>
      <c r="H300">
        <f t="shared" si="62"/>
        <v>3.948660974014933E-34</v>
      </c>
      <c r="I300">
        <f t="shared" si="68"/>
        <v>8.8774896624561265E-4</v>
      </c>
      <c r="J300">
        <f t="shared" si="69"/>
        <v>3.0081373721232582E-2</v>
      </c>
      <c r="K300">
        <f t="shared" si="63"/>
        <v>5.526857142857141E-2</v>
      </c>
      <c r="L300">
        <f t="shared" si="70"/>
        <v>2.5187197707338828E-2</v>
      </c>
      <c r="M300">
        <f t="shared" si="71"/>
        <v>559.71550460752951</v>
      </c>
      <c r="O300">
        <v>6.9999999999999999E-4</v>
      </c>
      <c r="P300">
        <f t="shared" si="64"/>
        <v>6.1228571428571322E-3</v>
      </c>
      <c r="Q300">
        <f t="shared" si="65"/>
        <v>3.9037964476759708E-34</v>
      </c>
      <c r="R300">
        <f t="shared" si="72"/>
        <v>8.7766239838359236E-4</v>
      </c>
      <c r="S300">
        <f t="shared" si="66"/>
        <v>2.9401690345850343E-2</v>
      </c>
      <c r="T300">
        <f t="shared" si="73"/>
        <v>-2.3278833202993211E-2</v>
      </c>
      <c r="U300">
        <f t="shared" si="74"/>
        <v>-2.5319028602679643E-2</v>
      </c>
    </row>
    <row r="301" spans="2:21" x14ac:dyDescent="0.25">
      <c r="B301">
        <v>482</v>
      </c>
      <c r="C301">
        <v>-8.0000000000000004E-4</v>
      </c>
      <c r="D301">
        <v>8.0000000000000004E-4</v>
      </c>
      <c r="E301">
        <f t="shared" si="60"/>
        <v>3.1571557072424741E-34</v>
      </c>
      <c r="F301">
        <f t="shared" si="61"/>
        <v>3.3923722943722937E-2</v>
      </c>
      <c r="G301">
        <f t="shared" si="67"/>
        <v>9.409664635449611E-4</v>
      </c>
      <c r="H301">
        <f t="shared" si="62"/>
        <v>2.9673865843756582E-34</v>
      </c>
      <c r="I301">
        <f t="shared" si="68"/>
        <v>8.8440720673529916E-4</v>
      </c>
      <c r="J301">
        <f t="shared" si="69"/>
        <v>2.9968138200225609E-2</v>
      </c>
      <c r="K301">
        <f t="shared" si="63"/>
        <v>5.5043636363636371E-2</v>
      </c>
      <c r="L301">
        <f t="shared" si="70"/>
        <v>2.5075498163410762E-2</v>
      </c>
      <c r="M301">
        <f t="shared" si="71"/>
        <v>557.23329252023916</v>
      </c>
      <c r="O301">
        <v>5.0000000000000001E-4</v>
      </c>
      <c r="P301">
        <f t="shared" si="64"/>
        <v>5.9924675324675228E-3</v>
      </c>
      <c r="Q301">
        <f t="shared" si="65"/>
        <v>2.9336712579780006E-34</v>
      </c>
      <c r="R301">
        <f t="shared" si="72"/>
        <v>8.7435860780972474E-4</v>
      </c>
      <c r="S301">
        <f t="shared" si="66"/>
        <v>2.9291013361625779E-2</v>
      </c>
      <c r="T301">
        <f t="shared" si="73"/>
        <v>-2.3298545829158256E-2</v>
      </c>
      <c r="U301">
        <f t="shared" si="74"/>
        <v>-2.5329693422164602E-2</v>
      </c>
    </row>
    <row r="302" spans="2:21" x14ac:dyDescent="0.25">
      <c r="B302">
        <v>483</v>
      </c>
      <c r="C302">
        <v>-5.0000000000000001E-4</v>
      </c>
      <c r="D302">
        <v>1E-3</v>
      </c>
      <c r="E302">
        <f t="shared" si="60"/>
        <v>2.3725768183462843E-34</v>
      </c>
      <c r="F302">
        <f t="shared" si="61"/>
        <v>3.4395541125541114E-2</v>
      </c>
      <c r="G302">
        <f t="shared" si="67"/>
        <v>9.5405362047989333E-4</v>
      </c>
      <c r="H302">
        <f t="shared" si="62"/>
        <v>2.2299668670160836E-34</v>
      </c>
      <c r="I302">
        <f t="shared" si="68"/>
        <v>8.967077257839007E-4</v>
      </c>
      <c r="J302">
        <f t="shared" si="69"/>
        <v>3.0384941288187473E-2</v>
      </c>
      <c r="K302">
        <f t="shared" si="63"/>
        <v>5.5518701298701303E-2</v>
      </c>
      <c r="L302">
        <f t="shared" si="70"/>
        <v>2.5133760010513831E-2</v>
      </c>
      <c r="M302">
        <f t="shared" si="71"/>
        <v>558.52800023364068</v>
      </c>
      <c r="O302">
        <v>5.9999999999999995E-4</v>
      </c>
      <c r="P302">
        <f t="shared" si="64"/>
        <v>6.1620779220779125E-3</v>
      </c>
      <c r="Q302">
        <f t="shared" si="65"/>
        <v>2.2046300736325455E-34</v>
      </c>
      <c r="R302">
        <f t="shared" si="72"/>
        <v>8.8651936885821676E-4</v>
      </c>
      <c r="S302">
        <f t="shared" si="66"/>
        <v>2.9698398856750262E-2</v>
      </c>
      <c r="T302">
        <f t="shared" si="73"/>
        <v>-2.3536320934672349E-2</v>
      </c>
      <c r="U302">
        <f t="shared" si="74"/>
        <v>-2.5572187812206416E-2</v>
      </c>
    </row>
    <row r="303" spans="2:21" x14ac:dyDescent="0.25">
      <c r="B303">
        <v>484</v>
      </c>
      <c r="C303">
        <v>-6.9999999999999999E-4</v>
      </c>
      <c r="D303">
        <v>8.9999999999999998E-4</v>
      </c>
      <c r="E303">
        <f t="shared" si="60"/>
        <v>1.7829721689180703E-34</v>
      </c>
      <c r="F303">
        <f t="shared" si="61"/>
        <v>3.4367359307359305E-2</v>
      </c>
      <c r="G303">
        <f t="shared" si="67"/>
        <v>9.5327192131807684E-4</v>
      </c>
      <c r="H303">
        <f t="shared" si="62"/>
        <v>1.6758019511757685E-34</v>
      </c>
      <c r="I303">
        <f t="shared" si="68"/>
        <v>8.9597301270007298E-4</v>
      </c>
      <c r="J303">
        <f t="shared" si="69"/>
        <v>3.0360045535341971E-2</v>
      </c>
      <c r="K303">
        <f t="shared" si="63"/>
        <v>5.5693766233766234E-2</v>
      </c>
      <c r="L303">
        <f t="shared" si="70"/>
        <v>2.5333720698424263E-2</v>
      </c>
      <c r="M303">
        <f t="shared" si="71"/>
        <v>562.97157107609473</v>
      </c>
      <c r="O303">
        <v>5.9999999999999995E-4</v>
      </c>
      <c r="P303">
        <f t="shared" si="64"/>
        <v>6.2316883116883028E-3</v>
      </c>
      <c r="Q303">
        <f t="shared" si="65"/>
        <v>1.6567615571606389E-34</v>
      </c>
      <c r="R303">
        <f t="shared" si="72"/>
        <v>8.8579300355474239E-4</v>
      </c>
      <c r="S303">
        <f t="shared" si="66"/>
        <v>2.967406561908387E-2</v>
      </c>
      <c r="T303">
        <f t="shared" si="73"/>
        <v>-2.3442377307395568E-2</v>
      </c>
      <c r="U303">
        <f t="shared" si="74"/>
        <v>-2.5494441257757395E-2</v>
      </c>
    </row>
    <row r="304" spans="2:21" x14ac:dyDescent="0.25">
      <c r="B304">
        <v>485</v>
      </c>
      <c r="C304">
        <v>-6.9999999999999999E-4</v>
      </c>
      <c r="D304">
        <v>8.9999999999999998E-4</v>
      </c>
      <c r="E304">
        <f t="shared" si="60"/>
        <v>1.3398890735820971E-34</v>
      </c>
      <c r="F304">
        <f t="shared" si="61"/>
        <v>3.4539177489177481E-2</v>
      </c>
      <c r="G304">
        <f t="shared" si="67"/>
        <v>9.5803776459495952E-4</v>
      </c>
      <c r="H304">
        <f t="shared" si="62"/>
        <v>1.2593515271920935E-34</v>
      </c>
      <c r="I304">
        <f t="shared" si="68"/>
        <v>9.0045239246921678E-4</v>
      </c>
      <c r="J304">
        <f t="shared" si="69"/>
        <v>3.0511829318819409E-2</v>
      </c>
      <c r="K304">
        <f t="shared" si="63"/>
        <v>5.5968831168831168E-2</v>
      </c>
      <c r="L304">
        <f t="shared" si="70"/>
        <v>2.5457001850011759E-2</v>
      </c>
      <c r="M304">
        <f t="shared" si="71"/>
        <v>565.71115222248352</v>
      </c>
      <c r="O304">
        <v>4.0000000000000002E-4</v>
      </c>
      <c r="P304">
        <f t="shared" si="64"/>
        <v>6.1012987012986934E-3</v>
      </c>
      <c r="Q304">
        <f t="shared" si="65"/>
        <v>1.2450428260568137E-34</v>
      </c>
      <c r="R304">
        <f t="shared" si="72"/>
        <v>8.9022148879205432E-4</v>
      </c>
      <c r="S304">
        <f t="shared" si="66"/>
        <v>2.982241987453382E-2</v>
      </c>
      <c r="T304">
        <f t="shared" si="73"/>
        <v>-2.3721121173235125E-2</v>
      </c>
      <c r="U304">
        <f t="shared" si="74"/>
        <v>-2.5783171055388944E-2</v>
      </c>
    </row>
    <row r="305" spans="2:21" x14ac:dyDescent="0.25">
      <c r="B305">
        <v>486</v>
      </c>
      <c r="C305">
        <v>-6.9999999999999999E-4</v>
      </c>
      <c r="D305">
        <v>8.0000000000000004E-4</v>
      </c>
      <c r="E305">
        <f t="shared" si="60"/>
        <v>1.0069157336281521E-34</v>
      </c>
      <c r="F305">
        <f t="shared" si="61"/>
        <v>3.471099567099567E-2</v>
      </c>
      <c r="G305">
        <f t="shared" si="67"/>
        <v>9.6280360787184263E-4</v>
      </c>
      <c r="H305">
        <f t="shared" si="62"/>
        <v>9.4639242299983151E-35</v>
      </c>
      <c r="I305">
        <f t="shared" si="68"/>
        <v>9.049317722383607E-4</v>
      </c>
      <c r="J305">
        <f t="shared" si="69"/>
        <v>3.0663613102296851E-2</v>
      </c>
      <c r="K305">
        <f t="shared" si="63"/>
        <v>5.6143896103896106E-2</v>
      </c>
      <c r="L305">
        <f t="shared" si="70"/>
        <v>2.5480283001599255E-2</v>
      </c>
      <c r="M305">
        <f t="shared" si="71"/>
        <v>566.22851114665002</v>
      </c>
      <c r="O305">
        <v>6.9999999999999999E-4</v>
      </c>
      <c r="P305">
        <f t="shared" si="64"/>
        <v>6.4709090909090836E-3</v>
      </c>
      <c r="Q305">
        <f t="shared" si="65"/>
        <v>9.3563955055317581E-35</v>
      </c>
      <c r="R305">
        <f t="shared" si="72"/>
        <v>8.9464997402936668E-4</v>
      </c>
      <c r="S305">
        <f t="shared" si="66"/>
        <v>2.9970774129983783E-2</v>
      </c>
      <c r="T305">
        <f t="shared" si="73"/>
        <v>-2.34998650390747E-2</v>
      </c>
      <c r="U305">
        <f t="shared" si="74"/>
        <v>-2.5563800724441726E-2</v>
      </c>
    </row>
    <row r="306" spans="2:21" x14ac:dyDescent="0.25">
      <c r="B306">
        <v>487</v>
      </c>
      <c r="C306">
        <v>-8.0000000000000004E-4</v>
      </c>
      <c r="D306">
        <v>8.0000000000000004E-4</v>
      </c>
      <c r="E306">
        <f t="shared" si="60"/>
        <v>7.566889786759631E-35</v>
      </c>
      <c r="F306">
        <f t="shared" si="61"/>
        <v>3.4782813852813843E-2</v>
      </c>
      <c r="G306">
        <f t="shared" si="67"/>
        <v>9.6479567992937545E-4</v>
      </c>
      <c r="H306">
        <f t="shared" si="62"/>
        <v>7.1120620332949652E-35</v>
      </c>
      <c r="I306">
        <f t="shared" si="68"/>
        <v>9.0680410558101863E-4</v>
      </c>
      <c r="J306">
        <f t="shared" si="69"/>
        <v>3.0727057117612814E-2</v>
      </c>
      <c r="K306">
        <f t="shared" si="63"/>
        <v>5.6418961038961039E-2</v>
      </c>
      <c r="L306">
        <f t="shared" si="70"/>
        <v>2.5691903921348225E-2</v>
      </c>
      <c r="M306">
        <f t="shared" si="71"/>
        <v>570.93119825218275</v>
      </c>
      <c r="O306">
        <v>5.0000000000000001E-4</v>
      </c>
      <c r="P306">
        <f t="shared" si="64"/>
        <v>6.3405194805194742E-3</v>
      </c>
      <c r="Q306">
        <f t="shared" si="65"/>
        <v>7.0312550720195176E-35</v>
      </c>
      <c r="R306">
        <f t="shared" si="72"/>
        <v>8.9650103399628524E-4</v>
      </c>
      <c r="S306">
        <f t="shared" si="66"/>
        <v>3.0032784638875556E-2</v>
      </c>
      <c r="T306">
        <f t="shared" si="73"/>
        <v>-2.3692265158356082E-2</v>
      </c>
      <c r="U306">
        <f t="shared" si="74"/>
        <v>-2.5773342410322374E-2</v>
      </c>
    </row>
    <row r="307" spans="2:21" x14ac:dyDescent="0.25">
      <c r="B307">
        <v>488</v>
      </c>
      <c r="C307">
        <v>-5.9999999999999995E-4</v>
      </c>
      <c r="D307">
        <v>8.0000000000000004E-4</v>
      </c>
      <c r="E307">
        <f t="shared" si="60"/>
        <v>5.6864560888976418E-35</v>
      </c>
      <c r="F307">
        <f t="shared" si="61"/>
        <v>3.5154632034632032E-2</v>
      </c>
      <c r="G307">
        <f t="shared" si="67"/>
        <v>9.7510906564495816E-4</v>
      </c>
      <c r="H307">
        <f t="shared" si="62"/>
        <v>5.3446567339480916E-35</v>
      </c>
      <c r="I307">
        <f t="shared" si="68"/>
        <v>9.1649757820313452E-4</v>
      </c>
      <c r="J307">
        <f t="shared" si="69"/>
        <v>3.1055520437413213E-2</v>
      </c>
      <c r="K307">
        <f t="shared" si="63"/>
        <v>5.6694025974025973E-2</v>
      </c>
      <c r="L307">
        <f t="shared" si="70"/>
        <v>2.563850553661276E-2</v>
      </c>
      <c r="M307">
        <f t="shared" si="71"/>
        <v>569.74456748028354</v>
      </c>
      <c r="O307">
        <v>5.0000000000000001E-4</v>
      </c>
      <c r="P307">
        <f t="shared" si="64"/>
        <v>6.4101298701298576E-3</v>
      </c>
      <c r="Q307">
        <f t="shared" si="65"/>
        <v>5.2839309602260894E-35</v>
      </c>
      <c r="R307">
        <f t="shared" si="72"/>
        <v>9.06084369774384E-4</v>
      </c>
      <c r="S307">
        <f t="shared" si="66"/>
        <v>3.0353826387441864E-2</v>
      </c>
      <c r="T307">
        <f t="shared" si="73"/>
        <v>-2.3943696517312006E-2</v>
      </c>
      <c r="U307">
        <f t="shared" si="74"/>
        <v>-2.6020448431455734E-2</v>
      </c>
    </row>
    <row r="308" spans="2:21" x14ac:dyDescent="0.25">
      <c r="B308">
        <v>489</v>
      </c>
      <c r="C308">
        <v>-5.9999999999999995E-4</v>
      </c>
      <c r="D308">
        <v>8.0000000000000004E-4</v>
      </c>
      <c r="E308">
        <f t="shared" si="60"/>
        <v>4.273325469539932E-35</v>
      </c>
      <c r="F308">
        <f t="shared" si="61"/>
        <v>3.5326450216450207E-2</v>
      </c>
      <c r="G308">
        <f t="shared" si="67"/>
        <v>9.7987490892184094E-4</v>
      </c>
      <c r="H308">
        <f t="shared" si="62"/>
        <v>4.016466036152241E-35</v>
      </c>
      <c r="I308">
        <f t="shared" si="68"/>
        <v>9.2097695797227843E-4</v>
      </c>
      <c r="J308">
        <f t="shared" si="69"/>
        <v>3.1207304220890651E-2</v>
      </c>
      <c r="K308">
        <f t="shared" si="63"/>
        <v>5.6969090909090907E-2</v>
      </c>
      <c r="L308">
        <f t="shared" si="70"/>
        <v>2.5761786688200256E-2</v>
      </c>
      <c r="M308">
        <f t="shared" si="71"/>
        <v>572.48414862667232</v>
      </c>
      <c r="O308">
        <v>5.9999999999999995E-4</v>
      </c>
      <c r="P308">
        <f t="shared" si="64"/>
        <v>6.5797402597402473E-3</v>
      </c>
      <c r="Q308">
        <f t="shared" si="65"/>
        <v>3.9708311114386921E-35</v>
      </c>
      <c r="R308">
        <f t="shared" si="72"/>
        <v>9.1051285501169625E-4</v>
      </c>
      <c r="S308">
        <f t="shared" si="66"/>
        <v>3.0502180642891823E-2</v>
      </c>
      <c r="T308">
        <f t="shared" si="73"/>
        <v>-2.3922440383151576E-2</v>
      </c>
      <c r="U308">
        <f t="shared" si="74"/>
        <v>-2.6009178229087295E-2</v>
      </c>
    </row>
    <row r="309" spans="2:21" x14ac:dyDescent="0.25">
      <c r="B309">
        <v>490</v>
      </c>
      <c r="C309">
        <v>-6.9999999999999999E-4</v>
      </c>
      <c r="D309">
        <v>1E-3</v>
      </c>
      <c r="E309">
        <f t="shared" si="60"/>
        <v>3.2113693103640512E-35</v>
      </c>
      <c r="F309">
        <f t="shared" si="61"/>
        <v>3.5398268398268387E-2</v>
      </c>
      <c r="G309">
        <f t="shared" si="67"/>
        <v>9.8186698097937398E-4</v>
      </c>
      <c r="H309">
        <f t="shared" si="62"/>
        <v>3.0183415367160178E-35</v>
      </c>
      <c r="I309">
        <f t="shared" si="68"/>
        <v>9.2284929131493647E-4</v>
      </c>
      <c r="J309">
        <f t="shared" si="69"/>
        <v>3.1270748236206618E-2</v>
      </c>
      <c r="K309">
        <f t="shared" si="63"/>
        <v>5.7444155844155839E-2</v>
      </c>
      <c r="L309">
        <f t="shared" si="70"/>
        <v>2.6173407607949221E-2</v>
      </c>
      <c r="M309">
        <f t="shared" si="71"/>
        <v>581.63128017664928</v>
      </c>
      <c r="O309">
        <v>5.9999999999999995E-4</v>
      </c>
      <c r="P309">
        <f t="shared" si="64"/>
        <v>6.6493506493506375E-3</v>
      </c>
      <c r="Q309">
        <f t="shared" si="65"/>
        <v>2.9840472622100225E-35</v>
      </c>
      <c r="R309">
        <f t="shared" si="72"/>
        <v>9.1236391497861514E-4</v>
      </c>
      <c r="S309">
        <f t="shared" si="66"/>
        <v>3.0564191151783607E-2</v>
      </c>
      <c r="T309">
        <f t="shared" si="73"/>
        <v>-2.391484050243297E-2</v>
      </c>
      <c r="U309">
        <f t="shared" si="74"/>
        <v>-2.6034920172125518E-2</v>
      </c>
    </row>
    <row r="310" spans="2:21" x14ac:dyDescent="0.25">
      <c r="B310">
        <v>491</v>
      </c>
      <c r="C310">
        <v>-5.0000000000000001E-4</v>
      </c>
      <c r="D310">
        <v>8.0000000000000004E-4</v>
      </c>
      <c r="E310">
        <f t="shared" si="60"/>
        <v>2.4133178998552561E-35</v>
      </c>
      <c r="F310">
        <f t="shared" si="61"/>
        <v>3.5770086580086576E-2</v>
      </c>
      <c r="G310">
        <f t="shared" si="67"/>
        <v>9.9218036669495658E-4</v>
      </c>
      <c r="H310">
        <f t="shared" si="62"/>
        <v>2.2682590989846707E-35</v>
      </c>
      <c r="I310">
        <f t="shared" si="68"/>
        <v>9.3254276393705214E-4</v>
      </c>
      <c r="J310">
        <f t="shared" si="69"/>
        <v>3.1599211556007013E-2</v>
      </c>
      <c r="K310">
        <f t="shared" si="63"/>
        <v>5.7519220779220774E-2</v>
      </c>
      <c r="L310">
        <f t="shared" si="70"/>
        <v>2.5920009223213761E-2</v>
      </c>
      <c r="M310">
        <f t="shared" si="71"/>
        <v>576.00020496030572</v>
      </c>
      <c r="O310">
        <v>5.9999999999999995E-4</v>
      </c>
      <c r="P310">
        <f t="shared" si="64"/>
        <v>6.7189610389610278E-3</v>
      </c>
      <c r="Q310">
        <f t="shared" si="65"/>
        <v>2.242487230809694E-35</v>
      </c>
      <c r="R310">
        <f t="shared" si="72"/>
        <v>9.219472507567139E-4</v>
      </c>
      <c r="S310">
        <f t="shared" si="66"/>
        <v>3.0885232900349915E-2</v>
      </c>
      <c r="T310">
        <f t="shared" si="73"/>
        <v>-2.4166271861388887E-2</v>
      </c>
      <c r="U310">
        <f t="shared" si="74"/>
        <v>-2.6265825936101307E-2</v>
      </c>
    </row>
    <row r="311" spans="2:21" x14ac:dyDescent="0.25">
      <c r="B311">
        <v>492</v>
      </c>
      <c r="C311">
        <v>-5.9999999999999995E-4</v>
      </c>
      <c r="D311">
        <v>6.9999999999999999E-4</v>
      </c>
      <c r="E311">
        <f t="shared" si="60"/>
        <v>1.8135887600861023E-35</v>
      </c>
      <c r="F311">
        <f t="shared" si="61"/>
        <v>3.5841904761904748E-2</v>
      </c>
      <c r="G311">
        <f t="shared" si="67"/>
        <v>9.941724387524894E-4</v>
      </c>
      <c r="H311">
        <f t="shared" si="62"/>
        <v>1.7045782518450451E-35</v>
      </c>
      <c r="I311">
        <f t="shared" si="68"/>
        <v>9.3441509727970986E-4</v>
      </c>
      <c r="J311">
        <f t="shared" si="69"/>
        <v>3.1662655571322966E-2</v>
      </c>
      <c r="K311">
        <f t="shared" si="63"/>
        <v>5.7694285714285705E-2</v>
      </c>
      <c r="L311">
        <f t="shared" si="70"/>
        <v>2.6031630142962739E-2</v>
      </c>
      <c r="M311">
        <f t="shared" si="71"/>
        <v>578.4806698436164</v>
      </c>
      <c r="O311">
        <v>5.9999999999999995E-4</v>
      </c>
      <c r="P311">
        <f t="shared" si="64"/>
        <v>6.7885714285714181E-3</v>
      </c>
      <c r="Q311">
        <f t="shared" si="65"/>
        <v>1.6852109026651619E-35</v>
      </c>
      <c r="R311">
        <f t="shared" si="72"/>
        <v>9.2379831072363224E-4</v>
      </c>
      <c r="S311">
        <f t="shared" si="66"/>
        <v>3.0947243409241681E-2</v>
      </c>
      <c r="T311">
        <f t="shared" si="73"/>
        <v>-2.4158671980670263E-2</v>
      </c>
      <c r="U311">
        <f t="shared" si="74"/>
        <v>-2.6267267493403169E-2</v>
      </c>
    </row>
    <row r="312" spans="2:21" x14ac:dyDescent="0.25">
      <c r="B312">
        <v>493</v>
      </c>
      <c r="C312">
        <v>-4.0000000000000002E-4</v>
      </c>
      <c r="D312">
        <v>8.0000000000000004E-4</v>
      </c>
      <c r="E312">
        <f t="shared" si="60"/>
        <v>1.3628971926607613E-35</v>
      </c>
      <c r="F312">
        <f t="shared" si="61"/>
        <v>3.6213722943722944E-2</v>
      </c>
      <c r="G312">
        <f t="shared" si="67"/>
        <v>1.0044858244680724E-3</v>
      </c>
      <c r="H312">
        <f t="shared" si="62"/>
        <v>1.2809766829388076E-35</v>
      </c>
      <c r="I312">
        <f t="shared" si="68"/>
        <v>9.4410856990182585E-4</v>
      </c>
      <c r="J312">
        <f t="shared" si="69"/>
        <v>3.1991118891123368E-2</v>
      </c>
      <c r="K312">
        <f t="shared" si="63"/>
        <v>5.8069350649350641E-2</v>
      </c>
      <c r="L312">
        <f t="shared" si="70"/>
        <v>2.6078231758227273E-2</v>
      </c>
      <c r="M312">
        <f t="shared" si="71"/>
        <v>579.51626129393935</v>
      </c>
      <c r="O312">
        <v>6.9999999999999999E-4</v>
      </c>
      <c r="P312">
        <f t="shared" si="64"/>
        <v>6.9581818181818087E-3</v>
      </c>
      <c r="Q312">
        <f t="shared" si="65"/>
        <v>1.2664222776582574E-35</v>
      </c>
      <c r="R312">
        <f t="shared" si="72"/>
        <v>9.3338164650173133E-4</v>
      </c>
      <c r="S312">
        <f t="shared" si="66"/>
        <v>3.1268285157808003E-2</v>
      </c>
      <c r="T312">
        <f t="shared" si="73"/>
        <v>-2.4310103339626195E-2</v>
      </c>
      <c r="U312">
        <f t="shared" si="74"/>
        <v>-2.6422473643115316E-2</v>
      </c>
    </row>
    <row r="313" spans="2:21" x14ac:dyDescent="0.25">
      <c r="B313">
        <v>494</v>
      </c>
      <c r="C313">
        <v>-2.9999999999999997E-4</v>
      </c>
      <c r="D313">
        <v>6.9999999999999999E-4</v>
      </c>
      <c r="E313">
        <f t="shared" si="60"/>
        <v>1.0242061478559213E-35</v>
      </c>
      <c r="F313">
        <f t="shared" si="61"/>
        <v>3.6485541125541116E-2</v>
      </c>
      <c r="G313">
        <f t="shared" si="67"/>
        <v>1.0120254389643047E-3</v>
      </c>
      <c r="H313">
        <f t="shared" si="62"/>
        <v>9.6264355153938465E-36</v>
      </c>
      <c r="I313">
        <f t="shared" si="68"/>
        <v>9.5119499609745554E-4</v>
      </c>
      <c r="J313">
        <f t="shared" si="69"/>
        <v>3.2231242442762278E-2</v>
      </c>
      <c r="K313">
        <f t="shared" si="63"/>
        <v>5.8244415584415572E-2</v>
      </c>
      <c r="L313">
        <f t="shared" si="70"/>
        <v>2.6013173141653294E-2</v>
      </c>
      <c r="M313">
        <f t="shared" si="71"/>
        <v>578.07051425896202</v>
      </c>
      <c r="O313">
        <v>6.9999999999999999E-4</v>
      </c>
      <c r="P313">
        <f t="shared" si="64"/>
        <v>7.027792207792199E-3</v>
      </c>
      <c r="Q313">
        <f t="shared" si="65"/>
        <v>9.5170603442730962E-36</v>
      </c>
      <c r="R313">
        <f t="shared" si="72"/>
        <v>9.4038755700943672E-4</v>
      </c>
      <c r="S313">
        <f t="shared" si="66"/>
        <v>3.1502983159816131E-2</v>
      </c>
      <c r="T313">
        <f t="shared" si="73"/>
        <v>-2.4475190952023933E-2</v>
      </c>
      <c r="U313">
        <f t="shared" si="74"/>
        <v>-2.6582291423918988E-2</v>
      </c>
    </row>
    <row r="314" spans="2:21" x14ac:dyDescent="0.25">
      <c r="B314">
        <v>495</v>
      </c>
      <c r="C314">
        <v>-2.0000000000000001E-4</v>
      </c>
      <c r="D314">
        <v>1.1000000000000001E-3</v>
      </c>
      <c r="E314">
        <f t="shared" si="60"/>
        <v>7.696825842438703E-36</v>
      </c>
      <c r="F314">
        <f t="shared" si="61"/>
        <v>3.6757359307359308E-2</v>
      </c>
      <c r="G314">
        <f t="shared" si="67"/>
        <v>1.0195650534605377E-3</v>
      </c>
      <c r="H314">
        <f t="shared" si="62"/>
        <v>7.2341879416130984E-36</v>
      </c>
      <c r="I314">
        <f t="shared" si="68"/>
        <v>9.5828142229308544E-4</v>
      </c>
      <c r="J314">
        <f t="shared" si="69"/>
        <v>3.2471365994401195E-2</v>
      </c>
      <c r="K314">
        <f t="shared" si="63"/>
        <v>5.8919480519480504E-2</v>
      </c>
      <c r="L314">
        <f t="shared" si="70"/>
        <v>2.6448114525079308E-2</v>
      </c>
      <c r="M314">
        <f t="shared" si="71"/>
        <v>587.73587833509566</v>
      </c>
      <c r="O314">
        <v>6.9999999999999999E-4</v>
      </c>
      <c r="P314">
        <f t="shared" si="64"/>
        <v>7.0974025974025893E-3</v>
      </c>
      <c r="Q314">
        <f t="shared" si="65"/>
        <v>7.1519933907049978E-36</v>
      </c>
      <c r="R314">
        <f t="shared" si="72"/>
        <v>9.4739346751714245E-4</v>
      </c>
      <c r="S314">
        <f t="shared" si="66"/>
        <v>3.1737681161824273E-2</v>
      </c>
      <c r="T314">
        <f t="shared" si="73"/>
        <v>-2.4640278564421685E-2</v>
      </c>
      <c r="U314">
        <f t="shared" si="74"/>
        <v>-2.6782609847616577E-2</v>
      </c>
    </row>
    <row r="315" spans="2:21" x14ac:dyDescent="0.25">
      <c r="B315">
        <v>496</v>
      </c>
      <c r="C315">
        <v>-1E-3</v>
      </c>
      <c r="D315">
        <v>2.0000000000000001E-4</v>
      </c>
      <c r="E315">
        <f t="shared" si="60"/>
        <v>5.7841019772092551E-36</v>
      </c>
      <c r="F315">
        <f t="shared" si="61"/>
        <v>3.6129177489177482E-2</v>
      </c>
      <c r="G315">
        <f t="shared" si="67"/>
        <v>1.0021407269826218E-3</v>
      </c>
      <c r="H315">
        <f t="shared" si="62"/>
        <v>5.436433360083646E-36</v>
      </c>
      <c r="I315">
        <f t="shared" si="68"/>
        <v>9.4190443065034224E-4</v>
      </c>
      <c r="J315">
        <f t="shared" si="69"/>
        <v>3.1916431632586846E-2</v>
      </c>
      <c r="K315">
        <f t="shared" si="63"/>
        <v>5.8294545454545439E-2</v>
      </c>
      <c r="L315">
        <f t="shared" si="70"/>
        <v>2.6378113821958593E-2</v>
      </c>
      <c r="M315">
        <f t="shared" si="71"/>
        <v>586.18030715463533</v>
      </c>
      <c r="O315">
        <v>2.9999999999999997E-4</v>
      </c>
      <c r="P315">
        <f t="shared" si="64"/>
        <v>6.7670129870129794E-3</v>
      </c>
      <c r="Q315">
        <f t="shared" si="65"/>
        <v>5.3746648240461021E-36</v>
      </c>
      <c r="R315">
        <f t="shared" si="72"/>
        <v>9.312025505913079E-4</v>
      </c>
      <c r="S315">
        <f t="shared" si="66"/>
        <v>3.1195285444808814E-2</v>
      </c>
      <c r="T315">
        <f t="shared" si="73"/>
        <v>-2.4428272457795837E-2</v>
      </c>
      <c r="U315">
        <f t="shared" si="74"/>
        <v>-2.6564933594031902E-2</v>
      </c>
    </row>
    <row r="316" spans="2:21" x14ac:dyDescent="0.25">
      <c r="B316">
        <v>497</v>
      </c>
      <c r="C316">
        <v>-5.0000000000000001E-4</v>
      </c>
      <c r="D316">
        <v>5.9999999999999995E-4</v>
      </c>
      <c r="E316">
        <f t="shared" si="60"/>
        <v>4.3467055598799532E-36</v>
      </c>
      <c r="F316">
        <f t="shared" si="61"/>
        <v>3.6800995670995658E-2</v>
      </c>
      <c r="G316">
        <f t="shared" si="67"/>
        <v>1.0207754263562537E-3</v>
      </c>
      <c r="H316">
        <f t="shared" si="62"/>
        <v>4.085435423736054E-36</v>
      </c>
      <c r="I316">
        <f t="shared" si="68"/>
        <v>9.5941904255191553E-4</v>
      </c>
      <c r="J316">
        <f t="shared" si="69"/>
        <v>3.2509914256871657E-2</v>
      </c>
      <c r="K316">
        <f t="shared" si="63"/>
        <v>5.8969610389610377E-2</v>
      </c>
      <c r="L316">
        <f t="shared" si="70"/>
        <v>2.6459696132738721E-2</v>
      </c>
      <c r="M316">
        <f t="shared" si="71"/>
        <v>587.99324739419376</v>
      </c>
      <c r="O316">
        <v>2.9999999999999997E-4</v>
      </c>
      <c r="P316">
        <f t="shared" si="64"/>
        <v>6.8366233766233696E-3</v>
      </c>
      <c r="Q316">
        <f t="shared" si="65"/>
        <v>4.0390168716292699E-36</v>
      </c>
      <c r="R316">
        <f t="shared" si="72"/>
        <v>9.4851816218058643E-4</v>
      </c>
      <c r="S316">
        <f t="shared" si="66"/>
        <v>3.1775358433049648E-2</v>
      </c>
      <c r="T316">
        <f t="shared" si="73"/>
        <v>-2.4938735056426277E-2</v>
      </c>
      <c r="U316">
        <f t="shared" si="74"/>
        <v>-2.7082004464733071E-2</v>
      </c>
    </row>
    <row r="317" spans="2:21" x14ac:dyDescent="0.25">
      <c r="B317">
        <v>498</v>
      </c>
      <c r="C317">
        <v>-5.0000000000000001E-4</v>
      </c>
      <c r="D317">
        <v>6.9999999999999999E-4</v>
      </c>
      <c r="E317">
        <f t="shared" si="60"/>
        <v>3.2665138510242929E-36</v>
      </c>
      <c r="F317">
        <f t="shared" si="61"/>
        <v>3.6972813852813848E-2</v>
      </c>
      <c r="G317">
        <f t="shared" si="67"/>
        <v>1.0255412696331368E-3</v>
      </c>
      <c r="H317">
        <f t="shared" si="62"/>
        <v>3.0701714701530612E-36</v>
      </c>
      <c r="I317">
        <f t="shared" si="68"/>
        <v>9.6389842232105956E-4</v>
      </c>
      <c r="J317">
        <f t="shared" si="69"/>
        <v>3.2661698040349102E-2</v>
      </c>
      <c r="K317">
        <f t="shared" si="63"/>
        <v>5.9344675324675307E-2</v>
      </c>
      <c r="L317">
        <f t="shared" si="70"/>
        <v>2.6682977284326205E-2</v>
      </c>
      <c r="M317">
        <f t="shared" si="71"/>
        <v>592.95505076280449</v>
      </c>
      <c r="O317">
        <v>5.9999999999999995E-4</v>
      </c>
      <c r="P317">
        <f t="shared" si="64"/>
        <v>7.2062337662337529E-3</v>
      </c>
      <c r="Q317">
        <f t="shared" si="65"/>
        <v>3.0352883060388834E-36</v>
      </c>
      <c r="R317">
        <f t="shared" si="72"/>
        <v>9.5294664741789879E-4</v>
      </c>
      <c r="S317">
        <f t="shared" si="66"/>
        <v>3.1923712688499611E-2</v>
      </c>
      <c r="T317">
        <f t="shared" si="73"/>
        <v>-2.4717478922265858E-2</v>
      </c>
      <c r="U317">
        <f t="shared" si="74"/>
        <v>-2.6878834390943424E-2</v>
      </c>
    </row>
    <row r="318" spans="2:21" x14ac:dyDescent="0.25">
      <c r="B318">
        <v>499</v>
      </c>
      <c r="C318">
        <v>-4.0000000000000002E-4</v>
      </c>
      <c r="D318">
        <v>1E-3</v>
      </c>
      <c r="E318">
        <f t="shared" si="60"/>
        <v>2.4547585733477641E-36</v>
      </c>
      <c r="F318">
        <f t="shared" si="61"/>
        <v>3.7244632034632026E-2</v>
      </c>
      <c r="G318">
        <f t="shared" si="67"/>
        <v>1.0330808841293693E-3</v>
      </c>
      <c r="H318">
        <f t="shared" si="62"/>
        <v>2.307208872126067E-36</v>
      </c>
      <c r="I318">
        <f t="shared" si="68"/>
        <v>9.7098484851668903E-4</v>
      </c>
      <c r="J318">
        <f t="shared" si="69"/>
        <v>3.2901821591988005E-2</v>
      </c>
      <c r="K318">
        <f t="shared" si="63"/>
        <v>5.9919740259740242E-2</v>
      </c>
      <c r="L318">
        <f t="shared" si="70"/>
        <v>2.7017918667752237E-2</v>
      </c>
      <c r="M318">
        <f t="shared" si="71"/>
        <v>600.3981926167163</v>
      </c>
      <c r="O318">
        <v>8.0000000000000004E-4</v>
      </c>
      <c r="P318">
        <f t="shared" si="64"/>
        <v>7.4758441558441437E-3</v>
      </c>
      <c r="Q318">
        <f t="shared" si="65"/>
        <v>2.280994458203431E-36</v>
      </c>
      <c r="R318">
        <f t="shared" si="72"/>
        <v>9.5995255792560396E-4</v>
      </c>
      <c r="S318">
        <f t="shared" si="66"/>
        <v>3.2158410690507733E-2</v>
      </c>
      <c r="T318">
        <f t="shared" si="73"/>
        <v>-2.4682566534663587E-2</v>
      </c>
      <c r="U318">
        <f t="shared" si="74"/>
        <v>-2.6871052686062213E-2</v>
      </c>
    </row>
    <row r="319" spans="2:21" x14ac:dyDescent="0.25">
      <c r="B319">
        <v>500</v>
      </c>
      <c r="C319">
        <v>-2.0000000000000001E-4</v>
      </c>
      <c r="D319">
        <v>8.9999999999999998E-4</v>
      </c>
      <c r="E319">
        <f t="shared" si="60"/>
        <v>1.8447310889359319E-36</v>
      </c>
      <c r="F319">
        <f t="shared" si="61"/>
        <v>3.7616450216450215E-2</v>
      </c>
      <c r="G319">
        <f t="shared" si="67"/>
        <v>1.0433942698449522E-3</v>
      </c>
      <c r="H319">
        <f t="shared" si="62"/>
        <v>1.7338486893541013E-36</v>
      </c>
      <c r="I319">
        <f t="shared" si="68"/>
        <v>9.8067832113880524E-4</v>
      </c>
      <c r="J319">
        <f t="shared" si="69"/>
        <v>3.3230284911788414E-2</v>
      </c>
      <c r="K319">
        <f t="shared" si="63"/>
        <v>6.0094805194805173E-2</v>
      </c>
      <c r="L319">
        <f t="shared" si="70"/>
        <v>2.6864520283016759E-2</v>
      </c>
      <c r="M319">
        <f t="shared" si="71"/>
        <v>596.98933962259457</v>
      </c>
      <c r="O319">
        <v>5.0000000000000001E-4</v>
      </c>
      <c r="P319">
        <f t="shared" si="64"/>
        <v>7.2454545454545341E-3</v>
      </c>
      <c r="Q319">
        <f t="shared" si="65"/>
        <v>1.7141487706466695E-36</v>
      </c>
      <c r="R319">
        <f t="shared" si="72"/>
        <v>9.6953589370370305E-4</v>
      </c>
      <c r="S319">
        <f t="shared" si="66"/>
        <v>3.2479452439074054E-2</v>
      </c>
      <c r="T319">
        <f t="shared" si="73"/>
        <v>-2.523399789361952E-2</v>
      </c>
      <c r="U319">
        <f t="shared" si="74"/>
        <v>-2.7410058578616798E-2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Todd</dc:creator>
  <cp:lastModifiedBy>Todd</cp:lastModifiedBy>
  <dcterms:created xsi:type="dcterms:W3CDTF">2019-11-15T19:32:04Z</dcterms:created>
  <dcterms:modified xsi:type="dcterms:W3CDTF">2019-11-15T23:12:39Z</dcterms:modified>
</cp:coreProperties>
</file>